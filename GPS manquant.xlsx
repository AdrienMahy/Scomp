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enmahy/Library/Mobile Documents/com~apple~CloudDocs/2026 - 2027 Pole Data/"/>
    </mc:Choice>
  </mc:AlternateContent>
  <xr:revisionPtr revIDLastSave="0" documentId="13_ncr:1_{D7B26735-9A19-6F4E-AA50-BAC6BFDC4D1C}" xr6:coauthVersionLast="47" xr6:coauthVersionMax="47" xr10:uidLastSave="{00000000-0000-0000-0000-000000000000}"/>
  <bookViews>
    <workbookView xWindow="1480" yWindow="600" windowWidth="34560" windowHeight="21000" xr2:uid="{BBA6C5F4-6AFF-8A4F-9BCF-E071EA85BF40}"/>
  </bookViews>
  <sheets>
    <sheet name="data" sheetId="1" r:id="rId1"/>
    <sheet name="change Data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" i="1" l="1"/>
  <c r="N77" i="1"/>
  <c r="W78" i="1"/>
  <c r="X77" i="1"/>
  <c r="W77" i="1"/>
  <c r="W74" i="1"/>
  <c r="W73" i="1"/>
</calcChain>
</file>

<file path=xl/sharedStrings.xml><?xml version="1.0" encoding="utf-8"?>
<sst xmlns="http://schemas.openxmlformats.org/spreadsheetml/2006/main" count="860" uniqueCount="302">
  <si>
    <t>id_Activity</t>
  </si>
  <si>
    <t>drillName</t>
  </si>
  <si>
    <t>id_drill</t>
  </si>
  <si>
    <t>startTime</t>
  </si>
  <si>
    <t>endTime</t>
  </si>
  <si>
    <t>LastName</t>
  </si>
  <si>
    <t>FirstName</t>
  </si>
  <si>
    <t>primaryLabel</t>
  </si>
  <si>
    <t>secondaryLabel</t>
  </si>
  <si>
    <t>tertiaryLabel</t>
  </si>
  <si>
    <t>squadID</t>
  </si>
  <si>
    <t>position</t>
  </si>
  <si>
    <t>distanceTotal</t>
  </si>
  <si>
    <t>distancePerMin</t>
  </si>
  <si>
    <t>distanceZ5Rel</t>
  </si>
  <si>
    <t>distanceZ6Rel</t>
  </si>
  <si>
    <t>distanceZ5Abs</t>
  </si>
  <si>
    <t>distanceZ6Abs</t>
  </si>
  <si>
    <t>entriesZ5Abs</t>
  </si>
  <si>
    <t>entriesZ6Abs</t>
  </si>
  <si>
    <t>accelerations</t>
  </si>
  <si>
    <t>decelerations</t>
  </si>
  <si>
    <t>totalTime</t>
  </si>
  <si>
    <t>maxSpeed</t>
  </si>
  <si>
    <t>distanceZ1Rel</t>
  </si>
  <si>
    <t>distanceZ1Abs</t>
  </si>
  <si>
    <t>distanceZ2Rel</t>
  </si>
  <si>
    <t>distanceZ2Abs</t>
  </si>
  <si>
    <t>distanceZ3Rel</t>
  </si>
  <si>
    <t>distanceZ3Abs</t>
  </si>
  <si>
    <t>distanceZ4Rel</t>
  </si>
  <si>
    <t>distanceZ4Abs</t>
  </si>
  <si>
    <t>08dd064c-0ee6-4538-8467-4ce275504259</t>
  </si>
  <si>
    <t>MATCH-BLOC 1-Mi-temps 1</t>
  </si>
  <si>
    <t>08dd064c-0ee6-4538-8467-4ce275504259_2</t>
  </si>
  <si>
    <t>2024-11-16T12:03:29.273</t>
  </si>
  <si>
    <t>2024-11-16T12:51:27.772</t>
  </si>
  <si>
    <t>DIAWARA</t>
  </si>
  <si>
    <t>Lamine</t>
  </si>
  <si>
    <t>MATCH</t>
  </si>
  <si>
    <t>BLOC 1</t>
  </si>
  <si>
    <t>Mi - temps 1</t>
  </si>
  <si>
    <t>U17</t>
  </si>
  <si>
    <t>Milieu</t>
  </si>
  <si>
    <t>MATCH-BLOC 2-Mi-temps 2</t>
  </si>
  <si>
    <t>08dd064c-0ee6-4538-8467-4ce275504259_1</t>
  </si>
  <si>
    <t>2024-11-16T13:12:50.679</t>
  </si>
  <si>
    <t>2024-11-16T14:00:54.075</t>
  </si>
  <si>
    <t>BLOC 2</t>
  </si>
  <si>
    <t>Mi - temps 2</t>
  </si>
  <si>
    <t>08dcf131-c872-48f3-8f88-7749266d4993</t>
  </si>
  <si>
    <t>08dcf131-c872-48f3-8f88-7749266d4993_2</t>
  </si>
  <si>
    <t>2024-10-20T14:02:45.847</t>
  </si>
  <si>
    <t>2024-10-20T14:26:20.06</t>
  </si>
  <si>
    <t>BALE</t>
  </si>
  <si>
    <t>Aser</t>
  </si>
  <si>
    <t>Defenseur</t>
  </si>
  <si>
    <t>08dceb9b-a315-4348-81ce-1a9f37ce1538</t>
  </si>
  <si>
    <t>08dceb9b-a315-4348-81ce-1a9f37ce1538_2</t>
  </si>
  <si>
    <t>2024-10-13T14:01:20.528</t>
  </si>
  <si>
    <t>2024-10-13T14:26:46.48</t>
  </si>
  <si>
    <t>TALLIS</t>
  </si>
  <si>
    <t>Lohan</t>
  </si>
  <si>
    <t>Attaquanf</t>
  </si>
  <si>
    <t>MENDES</t>
  </si>
  <si>
    <t>Edmilson</t>
  </si>
  <si>
    <t>08dd0bd7-84e9-49c2-8b02-56fffe4e2174</t>
  </si>
  <si>
    <t>08dd0bd7-84e9-49c2-8b02-56fffe4e2174_1</t>
  </si>
  <si>
    <t>2024-11-23T13:33:13.945</t>
  </si>
  <si>
    <t>2024-11-23T14:21:11.32</t>
  </si>
  <si>
    <t>PROUCHET</t>
  </si>
  <si>
    <t>KILLIAN</t>
  </si>
  <si>
    <t>Pro2</t>
  </si>
  <si>
    <t>08dd1159-ffb4-43ee-8667-e7e20ef49a95</t>
  </si>
  <si>
    <t>08dd1159-ffb4-43ee-8667-e7e20ef49a95_2</t>
  </si>
  <si>
    <t>2024-11-30T13:29:49.037</t>
  </si>
  <si>
    <t>2024-11-30T14:15:54.313</t>
  </si>
  <si>
    <t>AFONSO</t>
  </si>
  <si>
    <t>Flavio</t>
  </si>
  <si>
    <t>08dd1159-ffb4-43ee-8667-e7e20ef49a95_1</t>
  </si>
  <si>
    <t>2024-11-30T15:11:27.02</t>
  </si>
  <si>
    <t>2024-11-30T15:19:56.233</t>
  </si>
  <si>
    <t>08dd17bf-4234-4fde-80aa-af7556bd7063</t>
  </si>
  <si>
    <t>08dd17bf-4234-4fde-80aa-af7556bd7063_2</t>
  </si>
  <si>
    <t>2024-12-08T13:34:28.618</t>
  </si>
  <si>
    <t>2024-12-08T14:20:38.396</t>
  </si>
  <si>
    <t>SYLLA</t>
  </si>
  <si>
    <t>Mohamed</t>
  </si>
  <si>
    <t>BAH</t>
  </si>
  <si>
    <t>Thierno</t>
  </si>
  <si>
    <t>Attaquant</t>
  </si>
  <si>
    <t>PAUMIER</t>
  </si>
  <si>
    <t>Matteo</t>
  </si>
  <si>
    <t>Goalkeeper</t>
  </si>
  <si>
    <t>08dd17bf-4234-4fde-80aa-af7556bd7063_1</t>
  </si>
  <si>
    <t>2024-12-08T15:21:01.21</t>
  </si>
  <si>
    <t>2024-12-08T15:25:07.787</t>
  </si>
  <si>
    <t>DEFLORENNE</t>
  </si>
  <si>
    <t>Theo</t>
  </si>
  <si>
    <t>08dd1873-8fa7-43c9-8d6b-30c7065b363c</t>
  </si>
  <si>
    <t>08dd1873-8fa7-43c9-8d6b-30c7065b363c_1</t>
  </si>
  <si>
    <t>2024-12-08T11:02:04.24</t>
  </si>
  <si>
    <t>2024-12-08T11:48:38.298</t>
  </si>
  <si>
    <t>MFUTILA</t>
  </si>
  <si>
    <t>Hermi</t>
  </si>
  <si>
    <t>U19</t>
  </si>
  <si>
    <t>08dd1873-8fa7-43c9-8d6b-30c7065b363c_2</t>
  </si>
  <si>
    <t>2024-12-08T12:04:21.293</t>
  </si>
  <si>
    <t>2024-12-08T12:57:19.534</t>
  </si>
  <si>
    <t>MARSLI</t>
  </si>
  <si>
    <t>Adem</t>
  </si>
  <si>
    <t>08dd3e27-1195-42bc-84cb-002ecc6ff5f2</t>
  </si>
  <si>
    <t>08dd3e27-1195-42bc-84cb-002ecc6ff5f2_3</t>
  </si>
  <si>
    <t>2025-01-26T13:30:02.629</t>
  </si>
  <si>
    <t>2025-01-26T14:19:10.259</t>
  </si>
  <si>
    <t>AFFOUM</t>
  </si>
  <si>
    <t>Layan</t>
  </si>
  <si>
    <t>08dd3e27-1195-42bc-84cb-002ecc6ff5f2_1</t>
  </si>
  <si>
    <t>2025-01-26T15:28:06.492</t>
  </si>
  <si>
    <t>2025-01-26T13:30:02.629 </t>
  </si>
  <si>
    <t>08dd4886-af71-4f92-850a-e674be1e6e47</t>
  </si>
  <si>
    <t>08dd4886-af71-4f92-850a-e674be1e6e47_3</t>
  </si>
  <si>
    <t>2025-02-08T17:00:07.215</t>
  </si>
  <si>
    <t>2025-02-08T17:45:14.823</t>
  </si>
  <si>
    <t>KOEBERLE</t>
  </si>
  <si>
    <t>Samuel</t>
  </si>
  <si>
    <t>08dd4886-af71-4f92-850a-e674be1e6e47_2</t>
  </si>
  <si>
    <t>2025-02-08T18:00:06.218</t>
  </si>
  <si>
    <t>2025-02-08T18:49:09.197</t>
  </si>
  <si>
    <t>08dd4928-f438-4e87-890e-f203edac5748</t>
  </si>
  <si>
    <t>08dd4928-f438-4e87-890e-f203edac5748_3</t>
  </si>
  <si>
    <t>2025-02-09T13:30:57.175</t>
  </si>
  <si>
    <t>2025-02-09T14:18:21.361</t>
  </si>
  <si>
    <t>08dd4928-f438-4e87-890e-f203edac5748_1</t>
  </si>
  <si>
    <t>2025-02-09T15:12:40.91</t>
  </si>
  <si>
    <t>2025-02-09T15:22:01.573</t>
  </si>
  <si>
    <t>WARZYBOK</t>
  </si>
  <si>
    <t>Olivier</t>
  </si>
  <si>
    <t>08dd4ea3-7347-4d5e-884e-280f6c74ff5d</t>
  </si>
  <si>
    <t>08dd4ea3-7347-4d5e-884e-280f6c74ff5d_2</t>
  </si>
  <si>
    <t>2025-02-16T13:30:58.948</t>
  </si>
  <si>
    <t>2025-02-16T14:18:23.956</t>
  </si>
  <si>
    <t>08dd4ea3-7347-4d5e-884e-280f6c74ff5d_1</t>
  </si>
  <si>
    <t>2025-02-16T15:18:53.37</t>
  </si>
  <si>
    <t>2025-02-16T15:27:33.387</t>
  </si>
  <si>
    <t>08dd5653-ff17-4fae-8719-decf88069599</t>
  </si>
  <si>
    <t>08dd5653-ff17-4fae-8719-decf88069599_1</t>
  </si>
  <si>
    <t>2025-02-25T19:59:51.486</t>
  </si>
  <si>
    <t>2025-02-25T20:48:17.779</t>
  </si>
  <si>
    <t>GBANE</t>
  </si>
  <si>
    <t>Mory</t>
  </si>
  <si>
    <t>Pro</t>
  </si>
  <si>
    <t>08dd64a7-0a9f-40bc-8630-00c71ceadccf</t>
  </si>
  <si>
    <t>08dd64a7-0a9f-40bc-8630-00c71ceadccf_2</t>
  </si>
  <si>
    <t>2025-03-16T14:01:06.997</t>
  </si>
  <si>
    <t>2025-03-16T14:47:04.616</t>
  </si>
  <si>
    <t>DIARRASSOUBA</t>
  </si>
  <si>
    <t>Tidiane</t>
  </si>
  <si>
    <t>08dd64a7-0a9f-40bc-8630-00c71ceadccf_1 </t>
  </si>
  <si>
    <t>2025-03-16T15:37:47.96</t>
  </si>
  <si>
    <t>2025-03-16T15:53:02.56</t>
  </si>
  <si>
    <t>GADOU</t>
  </si>
  <si>
    <t>Arone</t>
  </si>
  <si>
    <t>08dd80cd-47b0-495e-8802-275b5afd28a7</t>
  </si>
  <si>
    <t>REHAB-BLOC 1</t>
  </si>
  <si>
    <t>08dd80cd-47b0-495e-8802-275b5afd28a7_2</t>
  </si>
  <si>
    <t>2025-04-20T15:24:59.123</t>
  </si>
  <si>
    <t>2025-04-20T16:24:59.274</t>
  </si>
  <si>
    <t>OKUMU</t>
  </si>
  <si>
    <t>Joseph</t>
  </si>
  <si>
    <t>REHAB</t>
  </si>
  <si>
    <t>08dd80cd-47b0-495e-8802-275b5afd28a7_1</t>
  </si>
  <si>
    <t>2025-04-20T15:23:04.866</t>
  </si>
  <si>
    <t>2025-04-20T15:53:05.133</t>
  </si>
  <si>
    <t>KHADRA</t>
  </si>
  <si>
    <t>Reda</t>
  </si>
  <si>
    <t>ROMELLE</t>
  </si>
  <si>
    <t>Milan</t>
  </si>
  <si>
    <t xml:space="preserve">id_activity </t>
  </si>
  <si>
    <t>reason</t>
  </si>
  <si>
    <t>Team</t>
  </si>
  <si>
    <t>Date</t>
  </si>
  <si>
    <t>08dd2836-721d-4117-808b-11152790228a</t>
  </si>
  <si>
    <t>Changer MD -5  en MD -6</t>
  </si>
  <si>
    <t>Pro1</t>
  </si>
  <si>
    <t>08dd2836-721d-409a-880e-8aa3ff76eca5</t>
  </si>
  <si>
    <t>08dd90a0-a583-4103-8e5a-b44e8f2bf9f5</t>
  </si>
  <si>
    <t>08dd90a0-a583-4103-8e5a-b44e8f2bf9f5_2</t>
  </si>
  <si>
    <t>2025-05-11T14:55:25.012</t>
  </si>
  <si>
    <t>2025-05-11T14:04:29.125</t>
  </si>
  <si>
    <t>DEMONCY</t>
  </si>
  <si>
    <t>Yohan</t>
  </si>
  <si>
    <t>CONSERVATION</t>
  </si>
  <si>
    <t>COURSE</t>
  </si>
  <si>
    <t>DARAMY</t>
  </si>
  <si>
    <t>08ddbd41-e949-4f7d-8743-5befbee1997c</t>
  </si>
  <si>
    <t>CONSERVATION-BLOC 1</t>
  </si>
  <si>
    <t>08ddbd41-e949-4f7d-8743-5befbee1997c_5</t>
  </si>
  <si>
    <t>2025-07-07T09:15:21.353</t>
  </si>
  <si>
    <t>2025-07-07T09:20:14.345</t>
  </si>
  <si>
    <t>COURSE-BLOC 1</t>
  </si>
  <si>
    <t>08ddbd41-e949-4f7d-8743-5befbee1997c_14</t>
  </si>
  <si>
    <t>2025-07-07T09:37:36.336</t>
  </si>
  <si>
    <t>2025-07-07T09:43:57.157</t>
  </si>
  <si>
    <t>08ddbd63-a4bd-4813-8761-cbb63305553a</t>
  </si>
  <si>
    <t>08ddbd63-a4bd-4813-8761-cbb63305553a_1</t>
  </si>
  <si>
    <t>2025-07-07T13:14:53.462</t>
  </si>
  <si>
    <t>2025-07-07T14:02:05.709</t>
  </si>
  <si>
    <t>ITO</t>
  </si>
  <si>
    <t>Junya</t>
  </si>
  <si>
    <t>DIARRA</t>
  </si>
  <si>
    <t>Thiemoko</t>
  </si>
  <si>
    <t>GUEU</t>
  </si>
  <si>
    <t>Patrick</t>
  </si>
  <si>
    <t>08ddc78a-afc1-4c24-8fa9-3799461656d4_7</t>
  </si>
  <si>
    <t>08ddc78a-afc1-4c24-8fa9-3799461656d4</t>
  </si>
  <si>
    <t>2025-07-20T09:06:15.824</t>
  </si>
  <si>
    <t>2025-07-20T09:53:15.882</t>
  </si>
  <si>
    <t>08ddc78a-afc1-4c24-8fa9-3799461656d4_1</t>
  </si>
  <si>
    <t>2025-07-20T11:15:45.254</t>
  </si>
  <si>
    <t>2025-07-20T11:47:30.506</t>
  </si>
  <si>
    <t>08ddbe08-e1da-467a-8cb3-fb0d99d62bb4</t>
  </si>
  <si>
    <t>08ddbe08-e1da-467a-8cb3-fb0d99d62bb4_1</t>
  </si>
  <si>
    <t>2025-07-08T08:21:35.61</t>
  </si>
  <si>
    <t>2025-07-08T08:55:06.377</t>
  </si>
  <si>
    <t>FOFANA</t>
  </si>
  <si>
    <t>Yaya</t>
  </si>
  <si>
    <t>08de2900-f698-4250-8d8c-1be2bbf1b496</t>
  </si>
  <si>
    <t>08de2900-f698-4250-8d8c-1be2bbf1b496_1</t>
  </si>
  <si>
    <t>2025-11-21T10:41:57.9</t>
  </si>
  <si>
    <t>2025-11-21T10:58:29.356</t>
  </si>
  <si>
    <t>Hiroki</t>
  </si>
  <si>
    <t>Maxime</t>
  </si>
  <si>
    <t>Amine</t>
  </si>
  <si>
    <t>Keito</t>
  </si>
  <si>
    <t>Sergio</t>
  </si>
  <si>
    <t>Alexandre</t>
  </si>
  <si>
    <t>Adama</t>
  </si>
  <si>
    <t>Elie</t>
  </si>
  <si>
    <t>Ewen</t>
  </si>
  <si>
    <t>John</t>
  </si>
  <si>
    <t>Hafiz</t>
  </si>
  <si>
    <t>Martial</t>
  </si>
  <si>
    <t>Abdoul</t>
  </si>
  <si>
    <t>SEKINE</t>
  </si>
  <si>
    <t>BUSI</t>
  </si>
  <si>
    <t>PALLOIS</t>
  </si>
  <si>
    <t>LEONI</t>
  </si>
  <si>
    <t>TEUMA</t>
  </si>
  <si>
    <t>SALAMA</t>
  </si>
  <si>
    <t>NAKAMURA</t>
  </si>
  <si>
    <t>AKIEME</t>
  </si>
  <si>
    <t>OLLIERO</t>
  </si>
  <si>
    <t>BOJANG</t>
  </si>
  <si>
    <t>N'TAMON</t>
  </si>
  <si>
    <t>JAOUEN</t>
  </si>
  <si>
    <t>PATRICK</t>
  </si>
  <si>
    <t>IBRAHIM</t>
  </si>
  <si>
    <t>TIA</t>
  </si>
  <si>
    <t>KONE</t>
  </si>
  <si>
    <t>Nicolas</t>
  </si>
  <si>
    <t>Teddy</t>
  </si>
  <si>
    <t>TECHNIQUE</t>
  </si>
  <si>
    <t>08de4d11-7222-4e91-871c-b27c814f267f</t>
  </si>
  <si>
    <t>08de4d11-c12f-4382-8c3b-19094bfd0662</t>
  </si>
  <si>
    <t>TECHNIQUE-BLOC 1</t>
  </si>
  <si>
    <t>08de4d11-7222-4e91-871c-b27c814f267f_1</t>
  </si>
  <si>
    <t>2026-01-06T09:55:57.498</t>
  </si>
  <si>
    <t>2026-01-06T10:46:14.302</t>
  </si>
  <si>
    <t>08de4d11-c12f-4382-8c3b-19094bfd0662_1</t>
  </si>
  <si>
    <t>Soumaila</t>
  </si>
  <si>
    <t>08dedb58-5ae1-4d88-8496-2a6ceadf9592</t>
  </si>
  <si>
    <t>08dedb58-5ae1-4d88-8496-2a6ceadf9592_1</t>
  </si>
  <si>
    <t>2026-07-06T08:30:00.000</t>
  </si>
  <si>
    <t>2026-07-06T08:45:00.000</t>
  </si>
  <si>
    <t xml:space="preserve"> MATCH-BLOC 1-Mi-temps 1</t>
  </si>
  <si>
    <t>DEBONDT</t>
  </si>
  <si>
    <t>Mael</t>
  </si>
  <si>
    <t>KWASSI PIERRARD</t>
  </si>
  <si>
    <t>Thomas</t>
  </si>
  <si>
    <t>WARM UP</t>
  </si>
  <si>
    <t>WARM UP-BLOC 1</t>
  </si>
  <si>
    <t>08def859-d7d3-4cfc-888e-0cce1b641c33</t>
  </si>
  <si>
    <t>08def859-d7d3-4cfc-888e-0cce1b641c33_1 </t>
  </si>
  <si>
    <t>2026-08-12T08:04:05.975</t>
  </si>
  <si>
    <t>2026-08-12T08:30:57.73</t>
  </si>
  <si>
    <t>08def859-d7d3-4cfc-888e-0cce1b641c33_14</t>
  </si>
  <si>
    <t>2026-08-12T07:50:23.915</t>
  </si>
  <si>
    <t>2026-08-12T07:55:29.697</t>
  </si>
  <si>
    <t>08dee99a-689a-4cc5-8f25-b3333634a257</t>
  </si>
  <si>
    <t>08dee99a-689a-4cc5-8f25-b3333634a257_1 </t>
  </si>
  <si>
    <t>2026-07-24T14:46:05.57</t>
  </si>
  <si>
    <t>2026-07-24T15:20:02.9</t>
  </si>
  <si>
    <t>Kenzy</t>
  </si>
  <si>
    <t>HOTAT SAFU</t>
  </si>
  <si>
    <t>08df1714-4b23-462f-85d2-e91cb72817c8</t>
  </si>
  <si>
    <t>08df1714-4b23-462f-85d2-e91cb72817c8_2</t>
  </si>
  <si>
    <t>08df1714-4b23-462f-85d2-e91cb72817c8_1</t>
  </si>
  <si>
    <t>2026-09-20T11:28:37.58</t>
  </si>
  <si>
    <t>2026-09-20T12:05:29.882</t>
  </si>
  <si>
    <t>2026-09-20T10:13:22.266</t>
  </si>
  <si>
    <t>2026-09-20T11:00:16.566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</si>
</sst>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charset val="1"/>
    </font>
    <font>
      <sz val="12"/>
      <color rgb="FF000000"/>
      <name val="Aptos Narrow"/>
      <family val="2"/>
      <scheme val="minor"/>
    </font>
    <font>
      <sz val="14"/>
      <color rgb="FFD63384"/>
      <name val="Menlo"/>
      <family val="2"/>
    </font>
    <font>
      <sz val="11"/>
      <color rgb="FFC5C5C5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0" fillId="5" borderId="0" xfId="0" applyFill="1"/>
    <xf numFmtId="0" fontId="2" fillId="3" borderId="0" xfId="0" applyFont="1" applyFill="1"/>
    <xf numFmtId="1" fontId="0" fillId="3" borderId="0" xfId="0" applyNumberFormat="1" applyFill="1"/>
    <xf numFmtId="1" fontId="0" fillId="5" borderId="0" xfId="0" applyNumberFormat="1" applyFill="1"/>
    <xf numFmtId="2" fontId="0" fillId="2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FB5E-AF4F-0D46-9780-9977F6694CFB}">
  <dimension ref="A1:AF78"/>
  <sheetViews>
    <sheetView tabSelected="1" zoomScaleNormal="100" workbookViewId="0">
      <pane ySplit="1" topLeftCell="A42" activePane="bottomLeft" state="frozen"/>
      <selection pane="bottomLeft" activeCell="D83" sqref="D83"/>
    </sheetView>
  </sheetViews>
  <sheetFormatPr baseColWidth="10" defaultColWidth="11" defaultRowHeight="15.75" customHeight="1" x14ac:dyDescent="0.2"/>
  <cols>
    <col min="1" max="1" width="44.1640625" style="1" bestFit="1" customWidth="1"/>
    <col min="2" max="2" width="28.5" style="1" bestFit="1" customWidth="1"/>
    <col min="3" max="3" width="46.5" style="1" bestFit="1" customWidth="1"/>
    <col min="4" max="5" width="28.5" style="1" bestFit="1" customWidth="1"/>
    <col min="6" max="6" width="14" bestFit="1" customWidth="1"/>
    <col min="7" max="7" width="9.6640625" bestFit="1" customWidth="1"/>
    <col min="8" max="9" width="13.83203125" bestFit="1" customWidth="1"/>
    <col min="10" max="10" width="15.1640625" bestFit="1" customWidth="1"/>
    <col min="11" max="11" width="7.83203125" bestFit="1" customWidth="1"/>
    <col min="12" max="12" width="9" bestFit="1" customWidth="1"/>
    <col min="13" max="13" width="12.1640625" style="2" bestFit="1" customWidth="1"/>
    <col min="14" max="14" width="13.83203125" style="2" bestFit="1" customWidth="1"/>
    <col min="15" max="16" width="12.83203125" style="2" bestFit="1" customWidth="1"/>
    <col min="17" max="18" width="13" style="2" bestFit="1" customWidth="1"/>
    <col min="19" max="20" width="11.6640625" style="2" bestFit="1" customWidth="1"/>
    <col min="21" max="22" width="12.33203125" style="2" bestFit="1" customWidth="1"/>
    <col min="23" max="23" width="8.6640625" style="2" bestFit="1" customWidth="1"/>
    <col min="24" max="24" width="9.5" style="1" bestFit="1" customWidth="1"/>
    <col min="25" max="25" width="11" style="5" customWidth="1"/>
    <col min="26" max="32" width="11" style="5"/>
  </cols>
  <sheetData>
    <row r="1" spans="1:3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ht="15.75" customHeight="1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s="2">
        <v>4938</v>
      </c>
      <c r="N2" s="2">
        <v>102</v>
      </c>
      <c r="O2" s="2">
        <v>250</v>
      </c>
      <c r="P2" s="2">
        <v>7</v>
      </c>
      <c r="Q2" s="2">
        <v>289</v>
      </c>
      <c r="R2" s="2">
        <v>128</v>
      </c>
      <c r="T2" s="2">
        <v>6</v>
      </c>
      <c r="U2" s="2">
        <v>36</v>
      </c>
      <c r="V2" s="2">
        <v>38</v>
      </c>
      <c r="W2" s="2">
        <v>2883</v>
      </c>
      <c r="X2" s="1">
        <v>8</v>
      </c>
    </row>
    <row r="3" spans="1:32" ht="15.75" customHeight="1" x14ac:dyDescent="0.2">
      <c r="A3" s="1" t="s">
        <v>32</v>
      </c>
      <c r="B3" s="1" t="s">
        <v>44</v>
      </c>
      <c r="C3" s="1" t="s">
        <v>45</v>
      </c>
      <c r="D3" s="1" t="s">
        <v>46</v>
      </c>
      <c r="E3" s="1" t="s">
        <v>47</v>
      </c>
      <c r="F3" t="s">
        <v>37</v>
      </c>
      <c r="G3" t="s">
        <v>38</v>
      </c>
      <c r="H3" t="s">
        <v>39</v>
      </c>
      <c r="I3" t="s">
        <v>48</v>
      </c>
      <c r="J3" t="s">
        <v>49</v>
      </c>
      <c r="K3" t="s">
        <v>42</v>
      </c>
      <c r="L3" t="s">
        <v>43</v>
      </c>
      <c r="M3" s="2">
        <v>4938</v>
      </c>
      <c r="N3" s="2">
        <v>102</v>
      </c>
      <c r="O3" s="2">
        <v>250</v>
      </c>
      <c r="P3" s="2">
        <v>7</v>
      </c>
      <c r="Q3" s="2">
        <v>289</v>
      </c>
      <c r="R3" s="2">
        <v>128</v>
      </c>
      <c r="T3" s="2">
        <v>6</v>
      </c>
      <c r="U3" s="2">
        <v>36</v>
      </c>
      <c r="V3" s="2">
        <v>38</v>
      </c>
      <c r="W3" s="2">
        <v>2883</v>
      </c>
      <c r="X3" s="1">
        <v>8</v>
      </c>
    </row>
    <row r="4" spans="1:32" ht="15.75" customHeight="1" x14ac:dyDescent="0.2">
      <c r="A4" s="1" t="s">
        <v>50</v>
      </c>
      <c r="B4" s="1" t="s">
        <v>44</v>
      </c>
      <c r="C4" s="1" t="s">
        <v>51</v>
      </c>
      <c r="D4" s="1" t="s">
        <v>52</v>
      </c>
      <c r="E4" s="1" t="s">
        <v>53</v>
      </c>
      <c r="F4" t="s">
        <v>54</v>
      </c>
      <c r="G4" t="s">
        <v>55</v>
      </c>
      <c r="H4" t="s">
        <v>39</v>
      </c>
      <c r="I4" t="s">
        <v>48</v>
      </c>
      <c r="J4" t="s">
        <v>49</v>
      </c>
      <c r="K4" t="s">
        <v>42</v>
      </c>
      <c r="L4" t="s">
        <v>56</v>
      </c>
      <c r="M4" s="2">
        <v>2322</v>
      </c>
      <c r="N4" s="2">
        <v>105</v>
      </c>
      <c r="O4" s="2">
        <v>33</v>
      </c>
      <c r="P4" s="2">
        <v>2</v>
      </c>
      <c r="Q4" s="2">
        <v>100</v>
      </c>
      <c r="R4" s="2">
        <v>27</v>
      </c>
      <c r="T4" s="2">
        <v>2</v>
      </c>
      <c r="U4" s="2">
        <v>14</v>
      </c>
      <c r="V4" s="2">
        <v>18</v>
      </c>
      <c r="W4" s="2">
        <v>1320</v>
      </c>
      <c r="X4" s="1">
        <v>8</v>
      </c>
    </row>
    <row r="5" spans="1:32" ht="15.75" customHeight="1" x14ac:dyDescent="0.2">
      <c r="A5" s="1" t="s">
        <v>57</v>
      </c>
      <c r="B5" s="1" t="s">
        <v>44</v>
      </c>
      <c r="C5" s="1" t="s">
        <v>58</v>
      </c>
      <c r="D5" s="1" t="s">
        <v>59</v>
      </c>
      <c r="E5" s="1" t="s">
        <v>60</v>
      </c>
      <c r="F5" t="s">
        <v>61</v>
      </c>
      <c r="G5" t="s">
        <v>62</v>
      </c>
      <c r="H5" t="s">
        <v>39</v>
      </c>
      <c r="I5" t="s">
        <v>48</v>
      </c>
      <c r="J5" t="s">
        <v>49</v>
      </c>
      <c r="K5" t="s">
        <v>42</v>
      </c>
      <c r="L5" t="s">
        <v>63</v>
      </c>
      <c r="M5" s="2">
        <v>4869</v>
      </c>
      <c r="N5" s="2">
        <v>99</v>
      </c>
      <c r="O5" s="2">
        <v>20</v>
      </c>
      <c r="P5" s="2">
        <v>0</v>
      </c>
      <c r="Q5" s="2">
        <v>244</v>
      </c>
      <c r="R5" s="2">
        <v>70</v>
      </c>
      <c r="T5" s="2">
        <v>6</v>
      </c>
      <c r="U5" s="2">
        <v>30</v>
      </c>
      <c r="V5" s="2">
        <v>33</v>
      </c>
      <c r="W5" s="2">
        <v>2947</v>
      </c>
      <c r="X5" s="1">
        <v>8</v>
      </c>
    </row>
    <row r="6" spans="1:32" ht="15.75" customHeight="1" x14ac:dyDescent="0.2">
      <c r="A6" s="1" t="s">
        <v>57</v>
      </c>
      <c r="B6" s="1" t="s">
        <v>44</v>
      </c>
      <c r="C6" s="1" t="s">
        <v>58</v>
      </c>
      <c r="D6" s="1" t="s">
        <v>59</v>
      </c>
      <c r="E6" s="1" t="s">
        <v>60</v>
      </c>
      <c r="F6" t="s">
        <v>64</v>
      </c>
      <c r="G6" t="s">
        <v>65</v>
      </c>
      <c r="H6" t="s">
        <v>39</v>
      </c>
      <c r="I6" t="s">
        <v>48</v>
      </c>
      <c r="J6" t="s">
        <v>49</v>
      </c>
      <c r="K6" t="s">
        <v>42</v>
      </c>
      <c r="L6" t="s">
        <v>56</v>
      </c>
      <c r="M6" s="2">
        <v>4264</v>
      </c>
      <c r="N6" s="2">
        <v>97</v>
      </c>
      <c r="O6" s="2">
        <v>12</v>
      </c>
      <c r="P6" s="2">
        <v>0</v>
      </c>
      <c r="Q6" s="2">
        <v>253</v>
      </c>
      <c r="R6" s="2">
        <v>44</v>
      </c>
      <c r="T6" s="2">
        <v>5</v>
      </c>
      <c r="U6" s="2">
        <v>30</v>
      </c>
      <c r="V6" s="2">
        <v>31</v>
      </c>
      <c r="W6" s="2">
        <v>2643</v>
      </c>
      <c r="X6" s="1">
        <v>8</v>
      </c>
    </row>
    <row r="7" spans="1:32" ht="15.75" customHeight="1" x14ac:dyDescent="0.2">
      <c r="A7" s="1" t="s">
        <v>66</v>
      </c>
      <c r="B7" s="1" t="s">
        <v>33</v>
      </c>
      <c r="C7" s="1" t="s">
        <v>67</v>
      </c>
      <c r="D7" s="1" t="s">
        <v>68</v>
      </c>
      <c r="E7" s="1" t="s">
        <v>69</v>
      </c>
      <c r="F7" t="s">
        <v>70</v>
      </c>
      <c r="G7" t="s">
        <v>71</v>
      </c>
      <c r="H7" t="s">
        <v>39</v>
      </c>
      <c r="I7" t="s">
        <v>40</v>
      </c>
      <c r="J7" t="s">
        <v>41</v>
      </c>
      <c r="K7" t="s">
        <v>72</v>
      </c>
      <c r="L7" t="s">
        <v>56</v>
      </c>
      <c r="M7" s="2">
        <v>4423</v>
      </c>
      <c r="N7" s="2">
        <v>97</v>
      </c>
      <c r="O7" s="2">
        <v>21</v>
      </c>
      <c r="P7" s="2">
        <v>1</v>
      </c>
      <c r="Q7" s="2">
        <v>177</v>
      </c>
      <c r="R7" s="2">
        <v>38</v>
      </c>
      <c r="T7" s="2">
        <v>3</v>
      </c>
      <c r="U7" s="2">
        <v>28</v>
      </c>
      <c r="V7" s="2">
        <v>31</v>
      </c>
      <c r="W7" s="2">
        <v>2877</v>
      </c>
      <c r="X7" s="1">
        <v>8</v>
      </c>
    </row>
    <row r="9" spans="1:32" ht="16" x14ac:dyDescent="0.2">
      <c r="A9" s="1" t="s">
        <v>73</v>
      </c>
      <c r="B9" s="1" t="s">
        <v>33</v>
      </c>
      <c r="C9" s="1" t="s">
        <v>74</v>
      </c>
      <c r="D9" s="1" t="s">
        <v>75</v>
      </c>
      <c r="E9" s="1" t="s">
        <v>76</v>
      </c>
      <c r="F9" t="s">
        <v>77</v>
      </c>
      <c r="G9" t="s">
        <v>78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s="2">
        <v>5403</v>
      </c>
      <c r="N9" s="2">
        <v>117</v>
      </c>
      <c r="O9" s="2">
        <v>238</v>
      </c>
      <c r="P9" s="2">
        <v>41</v>
      </c>
      <c r="Q9" s="2">
        <v>312</v>
      </c>
      <c r="R9" s="2">
        <v>118</v>
      </c>
      <c r="T9" s="2">
        <v>3</v>
      </c>
      <c r="U9" s="2">
        <v>44</v>
      </c>
      <c r="V9" s="2">
        <v>40</v>
      </c>
      <c r="W9" s="2">
        <v>2880</v>
      </c>
      <c r="X9" s="1">
        <v>8</v>
      </c>
    </row>
    <row r="10" spans="1:32" ht="16" x14ac:dyDescent="0.2">
      <c r="A10" s="1" t="s">
        <v>73</v>
      </c>
      <c r="B10" s="1" t="s">
        <v>44</v>
      </c>
      <c r="C10" s="1" t="s">
        <v>79</v>
      </c>
      <c r="D10" s="1" t="s">
        <v>80</v>
      </c>
      <c r="E10" s="1" t="s">
        <v>81</v>
      </c>
      <c r="F10" t="s">
        <v>77</v>
      </c>
      <c r="G10" t="s">
        <v>78</v>
      </c>
      <c r="H10" t="s">
        <v>39</v>
      </c>
      <c r="I10" t="s">
        <v>48</v>
      </c>
      <c r="J10" t="s">
        <v>49</v>
      </c>
      <c r="K10" t="s">
        <v>42</v>
      </c>
      <c r="L10" t="s">
        <v>43</v>
      </c>
      <c r="M10" s="2">
        <v>4793</v>
      </c>
      <c r="N10" s="2">
        <v>104</v>
      </c>
      <c r="O10" s="2">
        <v>231</v>
      </c>
      <c r="P10" s="2">
        <v>79</v>
      </c>
      <c r="Q10" s="2">
        <v>268</v>
      </c>
      <c r="R10" s="2">
        <v>61</v>
      </c>
      <c r="T10" s="2">
        <v>6</v>
      </c>
      <c r="U10" s="2">
        <v>34</v>
      </c>
      <c r="V10" s="2">
        <v>51</v>
      </c>
      <c r="W10" s="2">
        <v>2760</v>
      </c>
      <c r="X10" s="1">
        <v>8</v>
      </c>
    </row>
    <row r="11" spans="1:32" ht="16" x14ac:dyDescent="0.2">
      <c r="A11" s="1" t="s">
        <v>82</v>
      </c>
      <c r="B11" s="1" t="s">
        <v>33</v>
      </c>
      <c r="C11" s="1" t="s">
        <v>83</v>
      </c>
      <c r="D11" s="1" t="s">
        <v>84</v>
      </c>
      <c r="E11" s="1" t="s">
        <v>85</v>
      </c>
      <c r="F11" t="s">
        <v>86</v>
      </c>
      <c r="G11" t="s">
        <v>87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s="2">
        <v>5487</v>
      </c>
      <c r="N11" s="2">
        <v>119</v>
      </c>
      <c r="O11" s="2">
        <v>14</v>
      </c>
      <c r="P11" s="2">
        <v>0</v>
      </c>
      <c r="Q11" s="2">
        <v>253</v>
      </c>
      <c r="R11" s="2">
        <v>57</v>
      </c>
      <c r="T11" s="2">
        <v>5</v>
      </c>
      <c r="U11" s="2">
        <v>45</v>
      </c>
      <c r="V11" s="2">
        <v>44</v>
      </c>
      <c r="W11" s="2">
        <v>2760</v>
      </c>
      <c r="X11" s="1">
        <v>8</v>
      </c>
    </row>
    <row r="12" spans="1:32" s="3" customFormat="1" ht="16" x14ac:dyDescent="0.2">
      <c r="A12" s="1" t="s">
        <v>82</v>
      </c>
      <c r="B12" s="1" t="s">
        <v>33</v>
      </c>
      <c r="C12" s="1" t="s">
        <v>83</v>
      </c>
      <c r="D12" s="1" t="s">
        <v>84</v>
      </c>
      <c r="E12" s="1" t="s">
        <v>85</v>
      </c>
      <c r="F12" t="s">
        <v>88</v>
      </c>
      <c r="G12" t="s">
        <v>89</v>
      </c>
      <c r="H12" t="s">
        <v>39</v>
      </c>
      <c r="I12" t="s">
        <v>40</v>
      </c>
      <c r="J12" t="s">
        <v>41</v>
      </c>
      <c r="K12" t="s">
        <v>42</v>
      </c>
      <c r="L12" t="s">
        <v>90</v>
      </c>
      <c r="M12" s="2">
        <v>5391</v>
      </c>
      <c r="N12" s="2">
        <v>117</v>
      </c>
      <c r="O12" s="2">
        <v>10</v>
      </c>
      <c r="P12" s="2">
        <v>0</v>
      </c>
      <c r="Q12" s="2">
        <v>385</v>
      </c>
      <c r="R12" s="2">
        <v>55</v>
      </c>
      <c r="S12" s="2"/>
      <c r="T12" s="2">
        <v>5</v>
      </c>
      <c r="U12" s="2">
        <v>46</v>
      </c>
      <c r="V12" s="2">
        <v>55</v>
      </c>
      <c r="W12" s="2">
        <v>2760</v>
      </c>
      <c r="X12" s="1">
        <v>8</v>
      </c>
      <c r="Y12" s="5"/>
      <c r="Z12" s="5"/>
      <c r="AA12" s="5"/>
      <c r="AB12" s="5"/>
      <c r="AC12" s="5"/>
      <c r="AD12" s="5"/>
      <c r="AE12" s="5"/>
      <c r="AF12" s="5"/>
    </row>
    <row r="13" spans="1:32" s="3" customFormat="1" ht="16" x14ac:dyDescent="0.2">
      <c r="A13" s="1" t="s">
        <v>82</v>
      </c>
      <c r="B13" s="1" t="s">
        <v>33</v>
      </c>
      <c r="C13" s="1" t="s">
        <v>83</v>
      </c>
      <c r="D13" s="1" t="s">
        <v>84</v>
      </c>
      <c r="E13" s="1" t="s">
        <v>85</v>
      </c>
      <c r="F13" t="s">
        <v>91</v>
      </c>
      <c r="G13" t="s">
        <v>92</v>
      </c>
      <c r="H13" t="s">
        <v>39</v>
      </c>
      <c r="I13" t="s">
        <v>40</v>
      </c>
      <c r="J13" t="s">
        <v>41</v>
      </c>
      <c r="K13" t="s">
        <v>42</v>
      </c>
      <c r="L13" t="s">
        <v>93</v>
      </c>
      <c r="M13" s="2">
        <v>5487</v>
      </c>
      <c r="N13" s="2">
        <v>119</v>
      </c>
      <c r="O13" s="2">
        <v>14</v>
      </c>
      <c r="P13" s="2">
        <v>0</v>
      </c>
      <c r="Q13" s="2">
        <v>253</v>
      </c>
      <c r="R13" s="2">
        <v>57</v>
      </c>
      <c r="S13" s="2"/>
      <c r="T13" s="2">
        <v>5</v>
      </c>
      <c r="U13" s="2">
        <v>45</v>
      </c>
      <c r="V13" s="2">
        <v>44</v>
      </c>
      <c r="W13" s="2">
        <v>2760</v>
      </c>
      <c r="X13" s="1">
        <v>8</v>
      </c>
      <c r="Y13" s="5"/>
      <c r="Z13" s="5"/>
      <c r="AA13" s="5"/>
      <c r="AB13" s="5"/>
      <c r="AC13" s="5"/>
      <c r="AD13" s="5"/>
      <c r="AE13" s="5"/>
      <c r="AF13" s="5"/>
    </row>
    <row r="14" spans="1:32" ht="16" x14ac:dyDescent="0.2">
      <c r="A14" s="1" t="s">
        <v>82</v>
      </c>
      <c r="B14" s="1" t="s">
        <v>33</v>
      </c>
      <c r="C14" s="1" t="s">
        <v>83</v>
      </c>
      <c r="D14" s="1" t="s">
        <v>84</v>
      </c>
      <c r="E14" s="1" t="s">
        <v>85</v>
      </c>
      <c r="F14" t="s">
        <v>54</v>
      </c>
      <c r="G14" t="s">
        <v>55</v>
      </c>
      <c r="H14" t="s">
        <v>39</v>
      </c>
      <c r="I14" t="s">
        <v>40</v>
      </c>
      <c r="J14" t="s">
        <v>41</v>
      </c>
      <c r="K14" t="s">
        <v>42</v>
      </c>
      <c r="L14" t="s">
        <v>56</v>
      </c>
      <c r="M14" s="2">
        <v>5487</v>
      </c>
      <c r="N14" s="2">
        <v>119</v>
      </c>
      <c r="O14" s="2">
        <v>14</v>
      </c>
      <c r="P14" s="2">
        <v>0</v>
      </c>
      <c r="Q14" s="2">
        <v>253</v>
      </c>
      <c r="R14" s="2">
        <v>57</v>
      </c>
      <c r="T14" s="2">
        <v>5</v>
      </c>
      <c r="U14" s="2">
        <v>45</v>
      </c>
      <c r="V14" s="2">
        <v>44</v>
      </c>
      <c r="W14" s="2">
        <v>2760</v>
      </c>
      <c r="X14" s="1">
        <v>8</v>
      </c>
    </row>
    <row r="15" spans="1:32" ht="16" x14ac:dyDescent="0.2">
      <c r="A15" s="1" t="s">
        <v>82</v>
      </c>
      <c r="B15" s="1" t="s">
        <v>44</v>
      </c>
      <c r="C15" s="1" t="s">
        <v>94</v>
      </c>
      <c r="D15" s="1" t="s">
        <v>95</v>
      </c>
      <c r="E15" s="1" t="s">
        <v>96</v>
      </c>
      <c r="F15" t="s">
        <v>54</v>
      </c>
      <c r="G15" t="s">
        <v>55</v>
      </c>
      <c r="H15" t="s">
        <v>39</v>
      </c>
      <c r="I15" t="s">
        <v>48</v>
      </c>
      <c r="J15" t="s">
        <v>49</v>
      </c>
      <c r="K15" t="s">
        <v>42</v>
      </c>
      <c r="L15" t="s">
        <v>56</v>
      </c>
      <c r="M15" s="2">
        <v>4641.4468085106382</v>
      </c>
      <c r="N15" s="2">
        <v>110</v>
      </c>
      <c r="O15" s="2">
        <v>26.808510638297872</v>
      </c>
      <c r="P15" s="2">
        <v>3.5744680851063828</v>
      </c>
      <c r="Q15" s="2">
        <v>211.78723404255319</v>
      </c>
      <c r="R15" s="2">
        <v>37.531914893617021</v>
      </c>
      <c r="T15" s="2">
        <v>3.5744680851063828</v>
      </c>
      <c r="U15" s="2">
        <v>35.744680851063826</v>
      </c>
      <c r="V15" s="2">
        <v>39.319148936170215</v>
      </c>
      <c r="W15" s="2">
        <v>2520</v>
      </c>
      <c r="X15" s="1">
        <v>8</v>
      </c>
    </row>
    <row r="16" spans="1:32" ht="16" x14ac:dyDescent="0.2">
      <c r="A16" s="1" t="s">
        <v>82</v>
      </c>
      <c r="B16" s="1" t="s">
        <v>33</v>
      </c>
      <c r="C16" s="1" t="s">
        <v>83</v>
      </c>
      <c r="D16" s="1" t="s">
        <v>84</v>
      </c>
      <c r="E16" s="1" t="s">
        <v>85</v>
      </c>
      <c r="F16" t="s">
        <v>97</v>
      </c>
      <c r="G16" t="s">
        <v>98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s="2">
        <v>5824</v>
      </c>
      <c r="N16" s="2">
        <v>126</v>
      </c>
      <c r="O16" s="2">
        <v>1</v>
      </c>
      <c r="P16" s="2">
        <v>0</v>
      </c>
      <c r="Q16" s="2">
        <v>182</v>
      </c>
      <c r="R16" s="2">
        <v>13</v>
      </c>
      <c r="T16" s="2">
        <v>1</v>
      </c>
      <c r="U16" s="2">
        <v>35</v>
      </c>
      <c r="V16" s="2">
        <v>38</v>
      </c>
      <c r="W16" s="2">
        <v>2760</v>
      </c>
      <c r="X16" s="1">
        <v>8</v>
      </c>
    </row>
    <row r="17" spans="1:24" ht="16" x14ac:dyDescent="0.2">
      <c r="A17" s="1" t="s">
        <v>99</v>
      </c>
      <c r="B17" s="1" t="s">
        <v>33</v>
      </c>
      <c r="C17" s="1" t="s">
        <v>100</v>
      </c>
      <c r="D17" s="1" t="s">
        <v>101</v>
      </c>
      <c r="E17" s="1" t="s">
        <v>102</v>
      </c>
      <c r="F17" t="s">
        <v>103</v>
      </c>
      <c r="G17" t="s">
        <v>104</v>
      </c>
      <c r="H17" t="s">
        <v>39</v>
      </c>
      <c r="I17" t="s">
        <v>40</v>
      </c>
      <c r="J17" t="s">
        <v>41</v>
      </c>
      <c r="K17" t="s">
        <v>105</v>
      </c>
      <c r="L17" t="s">
        <v>56</v>
      </c>
      <c r="M17" s="2">
        <v>5185</v>
      </c>
      <c r="N17" s="2">
        <v>112</v>
      </c>
      <c r="O17" s="2">
        <v>38</v>
      </c>
      <c r="P17" s="2">
        <v>6</v>
      </c>
      <c r="Q17" s="2">
        <v>321</v>
      </c>
      <c r="R17" s="2">
        <v>98</v>
      </c>
      <c r="T17" s="2">
        <v>6</v>
      </c>
      <c r="U17" s="2">
        <v>46</v>
      </c>
      <c r="V17" s="2">
        <v>44</v>
      </c>
      <c r="W17" s="2">
        <v>2760</v>
      </c>
      <c r="X17" s="1">
        <v>8</v>
      </c>
    </row>
    <row r="18" spans="1:24" ht="15" customHeight="1" x14ac:dyDescent="0.2">
      <c r="A18" s="1" t="s">
        <v>99</v>
      </c>
      <c r="B18" s="1" t="s">
        <v>44</v>
      </c>
      <c r="C18" s="1" t="s">
        <v>106</v>
      </c>
      <c r="D18" s="1" t="s">
        <v>107</v>
      </c>
      <c r="E18" s="1" t="s">
        <v>108</v>
      </c>
      <c r="F18" t="s">
        <v>103</v>
      </c>
      <c r="G18" t="s">
        <v>104</v>
      </c>
      <c r="H18" t="s">
        <v>39</v>
      </c>
      <c r="I18" t="s">
        <v>48</v>
      </c>
      <c r="J18" t="s">
        <v>49</v>
      </c>
      <c r="K18" t="s">
        <v>105</v>
      </c>
      <c r="L18" t="s">
        <v>56</v>
      </c>
      <c r="M18" s="2">
        <v>5745</v>
      </c>
      <c r="N18" s="2">
        <v>108</v>
      </c>
      <c r="O18" s="2">
        <v>31</v>
      </c>
      <c r="P18" s="2">
        <v>3</v>
      </c>
      <c r="Q18" s="2">
        <v>353</v>
      </c>
      <c r="R18" s="2">
        <v>88</v>
      </c>
      <c r="T18" s="2">
        <v>6</v>
      </c>
      <c r="U18" s="2">
        <v>47</v>
      </c>
      <c r="V18" s="2">
        <v>45</v>
      </c>
      <c r="W18" s="2">
        <v>3180</v>
      </c>
      <c r="X18" s="1">
        <v>8</v>
      </c>
    </row>
    <row r="19" spans="1:24" ht="15.75" customHeight="1" x14ac:dyDescent="0.2">
      <c r="A19" s="1" t="s">
        <v>99</v>
      </c>
      <c r="B19" s="1" t="s">
        <v>33</v>
      </c>
      <c r="C19" s="1" t="s">
        <v>100</v>
      </c>
      <c r="D19" s="1" t="s">
        <v>101</v>
      </c>
      <c r="E19" s="1" t="s">
        <v>102</v>
      </c>
      <c r="F19" t="s">
        <v>109</v>
      </c>
      <c r="G19" t="s">
        <v>110</v>
      </c>
      <c r="H19" t="s">
        <v>39</v>
      </c>
      <c r="I19" t="s">
        <v>40</v>
      </c>
      <c r="J19" t="s">
        <v>41</v>
      </c>
      <c r="K19" t="s">
        <v>105</v>
      </c>
      <c r="L19" t="s">
        <v>56</v>
      </c>
      <c r="M19" s="2">
        <v>4716</v>
      </c>
      <c r="N19" s="2">
        <v>102</v>
      </c>
      <c r="O19" s="2">
        <v>60</v>
      </c>
      <c r="P19" s="2">
        <v>0</v>
      </c>
      <c r="Q19" s="2">
        <v>244</v>
      </c>
      <c r="R19" s="2">
        <v>90</v>
      </c>
      <c r="T19" s="2">
        <v>6</v>
      </c>
      <c r="U19" s="2">
        <v>22</v>
      </c>
      <c r="V19" s="2">
        <v>48</v>
      </c>
      <c r="W19" s="2">
        <v>2760</v>
      </c>
      <c r="X19" s="1">
        <v>8</v>
      </c>
    </row>
    <row r="20" spans="1:24" ht="15.75" customHeight="1" x14ac:dyDescent="0.2">
      <c r="A20" s="1" t="s">
        <v>111</v>
      </c>
      <c r="B20" s="1" t="s">
        <v>33</v>
      </c>
      <c r="C20" s="1" t="s">
        <v>112</v>
      </c>
      <c r="D20" s="1" t="s">
        <v>113</v>
      </c>
      <c r="E20" s="1" t="s">
        <v>114</v>
      </c>
      <c r="F20" t="s">
        <v>115</v>
      </c>
      <c r="G20" t="s">
        <v>116</v>
      </c>
      <c r="H20" t="s">
        <v>39</v>
      </c>
      <c r="I20" t="s">
        <v>40</v>
      </c>
      <c r="J20" t="s">
        <v>41</v>
      </c>
      <c r="K20" t="s">
        <v>42</v>
      </c>
      <c r="L20" t="s">
        <v>56</v>
      </c>
      <c r="M20" s="2">
        <v>5441</v>
      </c>
      <c r="N20" s="2">
        <v>110</v>
      </c>
      <c r="O20" s="2">
        <v>18</v>
      </c>
      <c r="P20" s="2">
        <v>0</v>
      </c>
      <c r="Q20" s="2">
        <v>246</v>
      </c>
      <c r="R20" s="2">
        <v>49</v>
      </c>
      <c r="S20" s="2">
        <v>16</v>
      </c>
      <c r="T20" s="2">
        <v>3</v>
      </c>
      <c r="U20" s="2">
        <v>43</v>
      </c>
      <c r="V20" s="2">
        <v>36</v>
      </c>
      <c r="W20" s="2">
        <v>2940</v>
      </c>
      <c r="X20" s="1">
        <v>8</v>
      </c>
    </row>
    <row r="21" spans="1:24" ht="15.75" customHeight="1" x14ac:dyDescent="0.2">
      <c r="A21" s="1" t="s">
        <v>111</v>
      </c>
      <c r="B21" s="1" t="s">
        <v>44</v>
      </c>
      <c r="C21" s="1" t="s">
        <v>117</v>
      </c>
      <c r="D21" s="1" t="s">
        <v>113</v>
      </c>
      <c r="E21" s="1" t="s">
        <v>118</v>
      </c>
      <c r="F21" t="s">
        <v>115</v>
      </c>
      <c r="G21" t="s">
        <v>116</v>
      </c>
      <c r="H21" t="s">
        <v>39</v>
      </c>
      <c r="I21" t="s">
        <v>48</v>
      </c>
      <c r="J21" t="s">
        <v>49</v>
      </c>
      <c r="K21" t="s">
        <v>42</v>
      </c>
      <c r="L21" t="s">
        <v>56</v>
      </c>
      <c r="M21" s="2">
        <v>755</v>
      </c>
      <c r="N21" s="2">
        <v>107</v>
      </c>
      <c r="O21" s="2">
        <v>7</v>
      </c>
      <c r="P21" s="2">
        <v>1</v>
      </c>
      <c r="Q21" s="2">
        <v>45</v>
      </c>
      <c r="R21" s="2">
        <v>13</v>
      </c>
      <c r="S21" s="2">
        <v>3</v>
      </c>
      <c r="T21" s="2">
        <v>1</v>
      </c>
      <c r="U21" s="2">
        <v>5</v>
      </c>
      <c r="V21" s="2">
        <v>6</v>
      </c>
      <c r="W21" s="2">
        <v>420</v>
      </c>
      <c r="X21" s="1">
        <v>8</v>
      </c>
    </row>
    <row r="22" spans="1:24" ht="15.75" customHeight="1" x14ac:dyDescent="0.2">
      <c r="A22" s="1" t="s">
        <v>111</v>
      </c>
      <c r="B22" s="1" t="s">
        <v>33</v>
      </c>
      <c r="C22" s="1" t="s">
        <v>112</v>
      </c>
      <c r="D22" s="1" t="s">
        <v>119</v>
      </c>
      <c r="E22" s="1" t="s">
        <v>114</v>
      </c>
      <c r="F22" t="s">
        <v>97</v>
      </c>
      <c r="G22" t="s">
        <v>98</v>
      </c>
      <c r="H22" t="s">
        <v>39</v>
      </c>
      <c r="I22" t="s">
        <v>40</v>
      </c>
      <c r="J22" t="s">
        <v>41</v>
      </c>
      <c r="K22" t="s">
        <v>42</v>
      </c>
      <c r="L22" t="s">
        <v>43</v>
      </c>
      <c r="M22" s="2">
        <v>6114</v>
      </c>
      <c r="N22" s="2">
        <v>124</v>
      </c>
      <c r="O22" s="2">
        <v>31</v>
      </c>
      <c r="P22" s="2">
        <v>3</v>
      </c>
      <c r="Q22" s="2">
        <v>288</v>
      </c>
      <c r="R22" s="2">
        <v>75</v>
      </c>
      <c r="S22" s="2">
        <v>20</v>
      </c>
      <c r="T22" s="2">
        <v>5</v>
      </c>
      <c r="U22" s="2">
        <v>37</v>
      </c>
      <c r="V22" s="2">
        <v>43</v>
      </c>
      <c r="W22" s="2">
        <v>2940</v>
      </c>
      <c r="X22" s="1">
        <v>8</v>
      </c>
    </row>
    <row r="24" spans="1:24" ht="15.75" customHeight="1" x14ac:dyDescent="0.2">
      <c r="A24" s="1" t="s">
        <v>120</v>
      </c>
      <c r="B24" s="1" t="s">
        <v>33</v>
      </c>
      <c r="C24" s="1" t="s">
        <v>121</v>
      </c>
      <c r="D24" s="1" t="s">
        <v>122</v>
      </c>
      <c r="E24" s="1" t="s">
        <v>123</v>
      </c>
      <c r="F24" t="s">
        <v>124</v>
      </c>
      <c r="G24" t="s">
        <v>125</v>
      </c>
      <c r="H24" t="s">
        <v>39</v>
      </c>
      <c r="I24" t="s">
        <v>40</v>
      </c>
      <c r="J24" t="s">
        <v>41</v>
      </c>
      <c r="K24" t="s">
        <v>72</v>
      </c>
      <c r="L24" t="s">
        <v>43</v>
      </c>
      <c r="M24" s="2">
        <v>6052</v>
      </c>
      <c r="N24" s="2">
        <v>123</v>
      </c>
      <c r="O24" s="2">
        <v>0</v>
      </c>
      <c r="P24" s="2">
        <v>2</v>
      </c>
      <c r="Q24" s="2">
        <v>40</v>
      </c>
      <c r="R24" s="2">
        <v>170</v>
      </c>
      <c r="S24" s="2">
        <v>0</v>
      </c>
      <c r="T24" s="2">
        <v>6</v>
      </c>
      <c r="U24" s="2">
        <v>41</v>
      </c>
      <c r="V24" s="2">
        <v>42</v>
      </c>
      <c r="W24" s="2">
        <v>2940</v>
      </c>
      <c r="X24" s="1">
        <v>8</v>
      </c>
    </row>
    <row r="25" spans="1:24" ht="15.75" customHeight="1" x14ac:dyDescent="0.2">
      <c r="A25" s="1" t="s">
        <v>120</v>
      </c>
      <c r="B25" s="1" t="s">
        <v>44</v>
      </c>
      <c r="C25" s="1" t="s">
        <v>126</v>
      </c>
      <c r="D25" s="1" t="s">
        <v>127</v>
      </c>
      <c r="E25" s="1" t="s">
        <v>128</v>
      </c>
      <c r="F25" t="s">
        <v>124</v>
      </c>
      <c r="G25" t="s">
        <v>125</v>
      </c>
      <c r="H25" t="s">
        <v>39</v>
      </c>
      <c r="I25" t="s">
        <v>48</v>
      </c>
      <c r="J25" t="s">
        <v>49</v>
      </c>
      <c r="K25" t="s">
        <v>72</v>
      </c>
      <c r="L25" t="s">
        <v>43</v>
      </c>
      <c r="M25" s="2">
        <v>5558</v>
      </c>
      <c r="N25" s="2">
        <v>123</v>
      </c>
      <c r="O25" s="2">
        <v>0</v>
      </c>
      <c r="P25" s="2">
        <v>1</v>
      </c>
      <c r="Q25" s="2">
        <v>37</v>
      </c>
      <c r="R25" s="2">
        <v>156</v>
      </c>
      <c r="S25" s="2">
        <v>0</v>
      </c>
      <c r="T25" s="2">
        <v>7</v>
      </c>
      <c r="U25" s="2">
        <v>38</v>
      </c>
      <c r="V25" s="2">
        <v>39</v>
      </c>
      <c r="W25" s="2">
        <v>2700</v>
      </c>
      <c r="X25" s="1">
        <v>8</v>
      </c>
    </row>
    <row r="26" spans="1:24" ht="15.75" customHeight="1" x14ac:dyDescent="0.2">
      <c r="A26" s="1" t="s">
        <v>129</v>
      </c>
      <c r="B26" s="1" t="s">
        <v>33</v>
      </c>
      <c r="C26" s="1" t="s">
        <v>130</v>
      </c>
      <c r="D26" s="1" t="s">
        <v>131</v>
      </c>
      <c r="E26" s="1" t="s">
        <v>132</v>
      </c>
      <c r="F26" t="s">
        <v>61</v>
      </c>
      <c r="G26" t="s">
        <v>62</v>
      </c>
      <c r="H26" t="s">
        <v>39</v>
      </c>
      <c r="I26" t="s">
        <v>40</v>
      </c>
      <c r="J26" t="s">
        <v>41</v>
      </c>
      <c r="K26" t="s">
        <v>42</v>
      </c>
      <c r="L26" t="s">
        <v>90</v>
      </c>
      <c r="M26" s="2">
        <v>5286</v>
      </c>
      <c r="N26" s="2">
        <v>112</v>
      </c>
      <c r="O26" s="2">
        <v>198</v>
      </c>
      <c r="P26" s="2">
        <v>20</v>
      </c>
      <c r="Q26" s="2">
        <v>286</v>
      </c>
      <c r="R26" s="2">
        <v>111</v>
      </c>
      <c r="S26" s="2">
        <v>20</v>
      </c>
      <c r="T26" s="2">
        <v>8</v>
      </c>
      <c r="U26" s="2">
        <v>46</v>
      </c>
      <c r="V26" s="2">
        <v>45</v>
      </c>
      <c r="W26" s="2">
        <v>2820</v>
      </c>
      <c r="X26" s="1">
        <v>8</v>
      </c>
    </row>
    <row r="27" spans="1:24" ht="15.75" customHeight="1" x14ac:dyDescent="0.2">
      <c r="A27" s="1" t="s">
        <v>129</v>
      </c>
      <c r="B27" s="1" t="s">
        <v>33</v>
      </c>
      <c r="C27" s="1" t="s">
        <v>133</v>
      </c>
      <c r="D27" s="1" t="s">
        <v>134</v>
      </c>
      <c r="E27" s="1" t="s">
        <v>135</v>
      </c>
      <c r="F27" t="s">
        <v>61</v>
      </c>
      <c r="G27" t="s">
        <v>62</v>
      </c>
      <c r="H27" t="s">
        <v>39</v>
      </c>
      <c r="I27" t="s">
        <v>48</v>
      </c>
      <c r="J27" t="s">
        <v>49</v>
      </c>
      <c r="K27" t="s">
        <v>42</v>
      </c>
      <c r="L27" t="s">
        <v>90</v>
      </c>
      <c r="M27" s="2">
        <v>2108</v>
      </c>
      <c r="N27" s="2">
        <v>100</v>
      </c>
      <c r="O27" s="2">
        <v>52</v>
      </c>
      <c r="P27" s="2">
        <v>2</v>
      </c>
      <c r="Q27" s="2">
        <v>117</v>
      </c>
      <c r="R27" s="2">
        <v>18</v>
      </c>
      <c r="S27" s="2">
        <v>11</v>
      </c>
      <c r="T27" s="2">
        <v>1</v>
      </c>
      <c r="U27" s="2">
        <v>16</v>
      </c>
      <c r="V27" s="2">
        <v>14</v>
      </c>
      <c r="W27" s="2">
        <v>1260</v>
      </c>
      <c r="X27" s="1">
        <v>8</v>
      </c>
    </row>
    <row r="28" spans="1:24" ht="15.75" customHeight="1" x14ac:dyDescent="0.2">
      <c r="A28" s="1" t="s">
        <v>129</v>
      </c>
      <c r="B28" s="1" t="s">
        <v>33</v>
      </c>
      <c r="C28" s="1" t="s">
        <v>133</v>
      </c>
      <c r="D28" s="1" t="s">
        <v>134</v>
      </c>
      <c r="E28" s="1" t="s">
        <v>135</v>
      </c>
      <c r="F28" t="s">
        <v>136</v>
      </c>
      <c r="G28" t="s">
        <v>137</v>
      </c>
      <c r="H28" t="s">
        <v>39</v>
      </c>
      <c r="I28" t="s">
        <v>48</v>
      </c>
      <c r="J28" t="s">
        <v>49</v>
      </c>
      <c r="K28" t="s">
        <v>42</v>
      </c>
      <c r="L28" t="s">
        <v>43</v>
      </c>
      <c r="M28" s="2">
        <v>5492</v>
      </c>
      <c r="N28" s="2">
        <v>116</v>
      </c>
      <c r="O28" s="2">
        <v>189</v>
      </c>
      <c r="P28" s="2">
        <v>27</v>
      </c>
      <c r="Q28" s="2">
        <v>369</v>
      </c>
      <c r="R28" s="2">
        <v>27</v>
      </c>
      <c r="S28" s="2">
        <v>30</v>
      </c>
      <c r="T28" s="2">
        <v>6</v>
      </c>
      <c r="U28" s="2">
        <v>60</v>
      </c>
      <c r="V28" s="2">
        <v>46</v>
      </c>
      <c r="W28" s="2">
        <v>2880</v>
      </c>
      <c r="X28" s="1">
        <v>8</v>
      </c>
    </row>
    <row r="29" spans="1:24" ht="15.75" customHeight="1" x14ac:dyDescent="0.2">
      <c r="A29" s="1" t="s">
        <v>138</v>
      </c>
      <c r="B29" s="1" t="s">
        <v>33</v>
      </c>
      <c r="C29" s="1" t="s">
        <v>139</v>
      </c>
      <c r="D29" s="1" t="s">
        <v>140</v>
      </c>
      <c r="E29" s="1" t="s">
        <v>141</v>
      </c>
      <c r="F29" t="s">
        <v>61</v>
      </c>
      <c r="G29" t="s">
        <v>62</v>
      </c>
      <c r="H29" t="s">
        <v>39</v>
      </c>
      <c r="I29" t="s">
        <v>40</v>
      </c>
      <c r="J29" t="s">
        <v>41</v>
      </c>
      <c r="K29" t="s">
        <v>42</v>
      </c>
      <c r="L29" t="s">
        <v>90</v>
      </c>
      <c r="M29" s="2">
        <v>4932</v>
      </c>
      <c r="N29" s="2">
        <v>104</v>
      </c>
      <c r="O29" s="2">
        <v>36</v>
      </c>
      <c r="P29" s="2">
        <v>0</v>
      </c>
      <c r="Q29" s="2">
        <v>408</v>
      </c>
      <c r="R29" s="2">
        <v>81</v>
      </c>
      <c r="S29" s="2">
        <v>24</v>
      </c>
      <c r="T29" s="2">
        <v>7</v>
      </c>
      <c r="U29" s="2">
        <v>51</v>
      </c>
      <c r="V29" s="2">
        <v>54</v>
      </c>
      <c r="W29" s="2">
        <v>2820</v>
      </c>
      <c r="X29" s="1">
        <v>9.08</v>
      </c>
    </row>
    <row r="30" spans="1:24" ht="15.75" customHeight="1" x14ac:dyDescent="0.2">
      <c r="A30" s="1" t="s">
        <v>138</v>
      </c>
      <c r="B30" s="1" t="s">
        <v>44</v>
      </c>
      <c r="C30" s="1" t="s">
        <v>142</v>
      </c>
      <c r="D30" s="1" t="s">
        <v>143</v>
      </c>
      <c r="E30" s="1" t="s">
        <v>144</v>
      </c>
      <c r="F30" t="s">
        <v>61</v>
      </c>
      <c r="G30" t="s">
        <v>62</v>
      </c>
      <c r="H30" t="s">
        <v>39</v>
      </c>
      <c r="I30" t="s">
        <v>48</v>
      </c>
      <c r="J30" t="s">
        <v>49</v>
      </c>
      <c r="K30" t="s">
        <v>42</v>
      </c>
      <c r="L30" t="s">
        <v>90</v>
      </c>
      <c r="M30" s="2">
        <v>4951</v>
      </c>
      <c r="N30" s="2">
        <v>97</v>
      </c>
      <c r="O30" s="2">
        <v>32</v>
      </c>
      <c r="P30" s="2">
        <v>4</v>
      </c>
      <c r="Q30" s="2">
        <v>280</v>
      </c>
      <c r="R30" s="2">
        <v>92</v>
      </c>
      <c r="S30" s="2">
        <v>25</v>
      </c>
      <c r="T30" s="2">
        <v>7</v>
      </c>
      <c r="U30" s="2">
        <v>56</v>
      </c>
      <c r="V30" s="2">
        <v>61</v>
      </c>
      <c r="W30" s="2">
        <v>3060</v>
      </c>
      <c r="X30" s="1">
        <v>9.08</v>
      </c>
    </row>
    <row r="31" spans="1:24" ht="15.75" customHeight="1" x14ac:dyDescent="0.2">
      <c r="A31" s="1" t="s">
        <v>145</v>
      </c>
      <c r="B31" s="1" t="s">
        <v>33</v>
      </c>
      <c r="C31" s="1" t="s">
        <v>146</v>
      </c>
      <c r="D31" s="1" t="s">
        <v>147</v>
      </c>
      <c r="E31" s="1" t="s">
        <v>148</v>
      </c>
      <c r="F31" t="s">
        <v>149</v>
      </c>
      <c r="G31" t="s">
        <v>150</v>
      </c>
      <c r="H31" t="s">
        <v>39</v>
      </c>
      <c r="I31" t="s">
        <v>40</v>
      </c>
      <c r="J31" t="s">
        <v>41</v>
      </c>
      <c r="K31" t="s">
        <v>151</v>
      </c>
      <c r="L31" t="s">
        <v>43</v>
      </c>
      <c r="M31" s="6">
        <v>4949</v>
      </c>
      <c r="N31" s="2">
        <v>103</v>
      </c>
      <c r="O31" s="6">
        <v>17</v>
      </c>
      <c r="P31" s="6">
        <v>4</v>
      </c>
      <c r="Q31" s="6">
        <v>230</v>
      </c>
      <c r="R31" s="6">
        <v>76</v>
      </c>
      <c r="S31" s="6">
        <v>17</v>
      </c>
      <c r="T31" s="6">
        <v>4</v>
      </c>
      <c r="U31" s="6">
        <v>39</v>
      </c>
      <c r="V31" s="6">
        <v>42</v>
      </c>
      <c r="W31" s="2">
        <v>2880</v>
      </c>
      <c r="X31" s="1">
        <v>8</v>
      </c>
    </row>
    <row r="32" spans="1:24" ht="15.75" customHeight="1" x14ac:dyDescent="0.2">
      <c r="A32" s="1" t="s">
        <v>152</v>
      </c>
      <c r="B32" s="1" t="s">
        <v>33</v>
      </c>
      <c r="C32" s="1" t="s">
        <v>153</v>
      </c>
      <c r="D32" s="1" t="s">
        <v>154</v>
      </c>
      <c r="E32" s="1" t="s">
        <v>155</v>
      </c>
      <c r="F32" t="s">
        <v>156</v>
      </c>
      <c r="G32" t="s">
        <v>157</v>
      </c>
      <c r="H32" t="s">
        <v>39</v>
      </c>
      <c r="I32" t="s">
        <v>40</v>
      </c>
      <c r="J32" t="s">
        <v>41</v>
      </c>
      <c r="K32" t="s">
        <v>42</v>
      </c>
      <c r="L32" t="s">
        <v>56</v>
      </c>
      <c r="M32" s="2">
        <v>5283</v>
      </c>
      <c r="N32" s="2">
        <v>117</v>
      </c>
      <c r="O32" s="2">
        <v>76</v>
      </c>
      <c r="P32" s="2">
        <v>15</v>
      </c>
      <c r="Q32" s="2">
        <v>378</v>
      </c>
      <c r="R32" s="2">
        <v>143</v>
      </c>
      <c r="S32" s="2">
        <v>22</v>
      </c>
      <c r="T32" s="2">
        <v>8</v>
      </c>
      <c r="U32" s="2">
        <v>37</v>
      </c>
      <c r="V32" s="2">
        <v>45</v>
      </c>
      <c r="W32" s="2">
        <v>2700</v>
      </c>
      <c r="X32" s="1">
        <v>8</v>
      </c>
    </row>
    <row r="33" spans="1:32" ht="15.75" customHeight="1" x14ac:dyDescent="0.2">
      <c r="A33" s="1" t="s">
        <v>152</v>
      </c>
      <c r="B33" s="1" t="s">
        <v>44</v>
      </c>
      <c r="C33" s="1" t="s">
        <v>158</v>
      </c>
      <c r="D33" s="1" t="s">
        <v>159</v>
      </c>
      <c r="E33" s="1" t="s">
        <v>160</v>
      </c>
      <c r="F33" t="s">
        <v>156</v>
      </c>
      <c r="G33" t="s">
        <v>157</v>
      </c>
      <c r="H33" t="s">
        <v>39</v>
      </c>
      <c r="I33" t="s">
        <v>48</v>
      </c>
      <c r="J33" t="s">
        <v>49</v>
      </c>
      <c r="K33" t="s">
        <v>42</v>
      </c>
      <c r="L33" t="s">
        <v>56</v>
      </c>
      <c r="M33" s="2">
        <v>5283</v>
      </c>
      <c r="N33" s="2">
        <v>117</v>
      </c>
      <c r="O33" s="2">
        <v>76</v>
      </c>
      <c r="P33" s="2">
        <v>15</v>
      </c>
      <c r="Q33" s="2">
        <v>378</v>
      </c>
      <c r="R33" s="2">
        <v>143</v>
      </c>
      <c r="S33" s="2">
        <v>22</v>
      </c>
      <c r="T33" s="2">
        <v>8</v>
      </c>
      <c r="U33" s="2">
        <v>37</v>
      </c>
      <c r="V33" s="2">
        <v>45</v>
      </c>
      <c r="W33" s="2">
        <v>2700</v>
      </c>
      <c r="X33" s="1">
        <v>8</v>
      </c>
    </row>
    <row r="34" spans="1:32" ht="15.75" customHeight="1" x14ac:dyDescent="0.2">
      <c r="A34" s="1" t="s">
        <v>152</v>
      </c>
      <c r="B34" s="1" t="s">
        <v>33</v>
      </c>
      <c r="C34" s="1" t="s">
        <v>153</v>
      </c>
      <c r="D34" s="1" t="s">
        <v>154</v>
      </c>
      <c r="E34" s="1" t="s">
        <v>155</v>
      </c>
      <c r="F34" t="s">
        <v>161</v>
      </c>
      <c r="G34" t="s">
        <v>162</v>
      </c>
      <c r="H34" t="s">
        <v>39</v>
      </c>
      <c r="I34" t="s">
        <v>40</v>
      </c>
      <c r="J34" t="s">
        <v>41</v>
      </c>
      <c r="K34" t="s">
        <v>42</v>
      </c>
      <c r="L34" t="s">
        <v>56</v>
      </c>
      <c r="M34" s="2">
        <v>5233</v>
      </c>
      <c r="N34" s="2">
        <v>116</v>
      </c>
      <c r="O34" s="2">
        <v>73</v>
      </c>
      <c r="P34" s="2">
        <v>5</v>
      </c>
      <c r="Q34" s="2">
        <v>388</v>
      </c>
      <c r="R34" s="2">
        <v>200</v>
      </c>
      <c r="S34" s="2">
        <v>22</v>
      </c>
      <c r="T34" s="2">
        <v>10</v>
      </c>
      <c r="U34" s="2">
        <v>51</v>
      </c>
      <c r="V34" s="2">
        <v>54</v>
      </c>
      <c r="W34" s="2">
        <v>2700</v>
      </c>
      <c r="X34" s="1">
        <v>8</v>
      </c>
    </row>
    <row r="35" spans="1:32" ht="15.75" customHeight="1" x14ac:dyDescent="0.2">
      <c r="A35" s="1" t="s">
        <v>152</v>
      </c>
      <c r="B35" s="1" t="s">
        <v>44</v>
      </c>
      <c r="C35" s="1" t="s">
        <v>158</v>
      </c>
      <c r="D35" s="1" t="s">
        <v>159</v>
      </c>
      <c r="E35" s="1" t="s">
        <v>160</v>
      </c>
      <c r="F35" t="s">
        <v>161</v>
      </c>
      <c r="G35" t="s">
        <v>162</v>
      </c>
      <c r="H35" t="s">
        <v>39</v>
      </c>
      <c r="I35" t="s">
        <v>48</v>
      </c>
      <c r="J35" t="s">
        <v>49</v>
      </c>
      <c r="K35" t="s">
        <v>42</v>
      </c>
      <c r="L35" t="s">
        <v>56</v>
      </c>
      <c r="M35" s="2">
        <v>5233</v>
      </c>
      <c r="N35" s="2">
        <v>116</v>
      </c>
      <c r="O35" s="2">
        <v>73</v>
      </c>
      <c r="P35" s="2">
        <v>5</v>
      </c>
      <c r="Q35" s="2">
        <v>388</v>
      </c>
      <c r="R35" s="2">
        <v>200</v>
      </c>
      <c r="S35" s="2">
        <v>22</v>
      </c>
      <c r="T35" s="2">
        <v>10</v>
      </c>
      <c r="U35" s="2">
        <v>51</v>
      </c>
      <c r="V35" s="2">
        <v>54</v>
      </c>
      <c r="W35" s="2">
        <v>2700</v>
      </c>
      <c r="X35" s="1">
        <v>8</v>
      </c>
    </row>
    <row r="36" spans="1:32" ht="15.75" customHeight="1" x14ac:dyDescent="0.2">
      <c r="A36" s="1" t="s">
        <v>163</v>
      </c>
      <c r="B36" s="1" t="s">
        <v>164</v>
      </c>
      <c r="C36" s="1" t="s">
        <v>165</v>
      </c>
      <c r="D36" s="1" t="s">
        <v>166</v>
      </c>
      <c r="E36" s="1" t="s">
        <v>167</v>
      </c>
      <c r="F36" t="s">
        <v>168</v>
      </c>
      <c r="G36" t="s">
        <v>169</v>
      </c>
      <c r="H36" t="s">
        <v>170</v>
      </c>
      <c r="I36" t="s">
        <v>40</v>
      </c>
      <c r="K36" t="s">
        <v>151</v>
      </c>
      <c r="L36" t="s">
        <v>56</v>
      </c>
      <c r="M36" s="2">
        <v>3660</v>
      </c>
      <c r="N36" s="2">
        <v>50</v>
      </c>
      <c r="Q36" s="2">
        <v>1200</v>
      </c>
      <c r="R36" s="2">
        <v>60</v>
      </c>
      <c r="U36" s="2">
        <v>26</v>
      </c>
      <c r="V36" s="2">
        <v>26</v>
      </c>
      <c r="W36" s="2">
        <v>3600</v>
      </c>
      <c r="X36" s="1">
        <v>7.2</v>
      </c>
      <c r="AB36" s="5">
        <v>800</v>
      </c>
      <c r="AD36" s="5">
        <v>1600</v>
      </c>
    </row>
    <row r="37" spans="1:32" ht="15.75" customHeight="1" x14ac:dyDescent="0.2">
      <c r="A37" s="1" t="s">
        <v>163</v>
      </c>
      <c r="B37" s="1" t="s">
        <v>164</v>
      </c>
      <c r="C37" s="1" t="s">
        <v>171</v>
      </c>
      <c r="D37" s="1" t="s">
        <v>172</v>
      </c>
      <c r="E37" s="1" t="s">
        <v>173</v>
      </c>
      <c r="F37" t="s">
        <v>174</v>
      </c>
      <c r="G37" t="s">
        <v>175</v>
      </c>
      <c r="H37" t="s">
        <v>170</v>
      </c>
      <c r="I37" t="s">
        <v>40</v>
      </c>
      <c r="K37" t="s">
        <v>151</v>
      </c>
      <c r="L37" t="s">
        <v>90</v>
      </c>
      <c r="M37" s="2">
        <v>2400</v>
      </c>
      <c r="N37" s="2">
        <v>50</v>
      </c>
      <c r="Q37" s="2">
        <v>0</v>
      </c>
      <c r="R37" s="2">
        <v>0</v>
      </c>
      <c r="U37" s="2">
        <v>12</v>
      </c>
      <c r="V37" s="2">
        <v>12</v>
      </c>
      <c r="W37" s="2">
        <v>1800</v>
      </c>
      <c r="X37" s="1">
        <v>4.0199999999999996</v>
      </c>
      <c r="AB37" s="5">
        <v>800</v>
      </c>
      <c r="AD37" s="5">
        <v>1600</v>
      </c>
    </row>
    <row r="38" spans="1:32" ht="15.75" customHeight="1" x14ac:dyDescent="0.2">
      <c r="A38" s="1" t="s">
        <v>186</v>
      </c>
      <c r="B38" s="1" t="s">
        <v>44</v>
      </c>
      <c r="C38" s="1" t="s">
        <v>187</v>
      </c>
      <c r="D38" s="1" t="s">
        <v>189</v>
      </c>
      <c r="E38" s="1" t="s">
        <v>188</v>
      </c>
      <c r="F38" t="s">
        <v>176</v>
      </c>
      <c r="G38" t="s">
        <v>177</v>
      </c>
      <c r="H38" t="s">
        <v>39</v>
      </c>
      <c r="I38" t="s">
        <v>48</v>
      </c>
      <c r="J38" t="s">
        <v>49</v>
      </c>
      <c r="K38" t="s">
        <v>42</v>
      </c>
      <c r="L38" t="s">
        <v>43</v>
      </c>
      <c r="M38" s="2">
        <v>2581</v>
      </c>
      <c r="N38" s="2">
        <v>92</v>
      </c>
      <c r="O38" s="2">
        <v>50</v>
      </c>
      <c r="P38" s="2">
        <v>16</v>
      </c>
      <c r="Q38" s="2">
        <v>124</v>
      </c>
      <c r="R38" s="2">
        <v>47</v>
      </c>
      <c r="S38" s="2">
        <v>8</v>
      </c>
      <c r="T38" s="2">
        <v>3</v>
      </c>
      <c r="U38" s="2">
        <v>17</v>
      </c>
      <c r="V38" s="2">
        <v>16</v>
      </c>
      <c r="W38" s="2">
        <v>1680</v>
      </c>
      <c r="X38" s="1">
        <v>8</v>
      </c>
    </row>
    <row r="41" spans="1:32" ht="15.75" customHeight="1" x14ac:dyDescent="0.2">
      <c r="A41" s="1" t="s">
        <v>195</v>
      </c>
      <c r="B41" s="1" t="s">
        <v>196</v>
      </c>
      <c r="C41" s="1" t="s">
        <v>197</v>
      </c>
      <c r="D41" s="1" t="s">
        <v>198</v>
      </c>
      <c r="E41" s="1" t="s">
        <v>199</v>
      </c>
      <c r="F41" t="s">
        <v>190</v>
      </c>
      <c r="G41" t="s">
        <v>191</v>
      </c>
      <c r="H41" t="s">
        <v>192</v>
      </c>
      <c r="I41" t="s">
        <v>40</v>
      </c>
      <c r="K41" t="s">
        <v>151</v>
      </c>
      <c r="L41" t="s">
        <v>43</v>
      </c>
      <c r="M41" s="2">
        <v>5600</v>
      </c>
      <c r="N41" s="2">
        <v>107</v>
      </c>
      <c r="O41" s="2">
        <v>0</v>
      </c>
      <c r="P41" s="2">
        <v>0</v>
      </c>
      <c r="Q41" s="2">
        <v>58</v>
      </c>
      <c r="R41" s="2">
        <v>0</v>
      </c>
      <c r="S41" s="2">
        <v>0</v>
      </c>
      <c r="T41" s="2">
        <v>0</v>
      </c>
      <c r="U41" s="2">
        <v>55</v>
      </c>
      <c r="V41" s="2">
        <v>43</v>
      </c>
      <c r="W41" s="2">
        <v>3360</v>
      </c>
      <c r="X41" s="1">
        <v>6.6</v>
      </c>
      <c r="AF41" s="5">
        <v>709</v>
      </c>
    </row>
    <row r="42" spans="1:32" ht="15.75" customHeight="1" x14ac:dyDescent="0.2">
      <c r="A42" s="1" t="s">
        <v>195</v>
      </c>
      <c r="B42" s="1" t="s">
        <v>200</v>
      </c>
      <c r="C42" s="1" t="s">
        <v>201</v>
      </c>
      <c r="D42" s="1" t="s">
        <v>202</v>
      </c>
      <c r="E42" s="1" t="s">
        <v>203</v>
      </c>
      <c r="F42" t="s">
        <v>190</v>
      </c>
      <c r="G42" t="s">
        <v>191</v>
      </c>
      <c r="H42" t="s">
        <v>193</v>
      </c>
      <c r="I42" t="s">
        <v>40</v>
      </c>
      <c r="K42" t="s">
        <v>151</v>
      </c>
      <c r="L42" t="s">
        <v>43</v>
      </c>
      <c r="M42" s="2">
        <v>1100</v>
      </c>
      <c r="N42" s="2">
        <v>183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360</v>
      </c>
      <c r="X42" s="1">
        <v>5</v>
      </c>
    </row>
    <row r="43" spans="1:32" ht="15.75" customHeight="1" x14ac:dyDescent="0.2">
      <c r="A43" s="1" t="s">
        <v>204</v>
      </c>
      <c r="B43" s="1" t="s">
        <v>164</v>
      </c>
      <c r="C43" s="1" t="s">
        <v>205</v>
      </c>
      <c r="D43" s="1" t="s">
        <v>206</v>
      </c>
      <c r="E43" s="1" t="s">
        <v>207</v>
      </c>
      <c r="F43" t="s">
        <v>194</v>
      </c>
      <c r="G43" t="s">
        <v>87</v>
      </c>
      <c r="H43" t="s">
        <v>170</v>
      </c>
      <c r="I43" t="s">
        <v>40</v>
      </c>
      <c r="K43" t="s">
        <v>151</v>
      </c>
      <c r="L43" t="s">
        <v>90</v>
      </c>
      <c r="M43" s="2">
        <v>6400</v>
      </c>
      <c r="N43" s="2">
        <v>106</v>
      </c>
      <c r="O43" s="2">
        <v>0</v>
      </c>
      <c r="P43" s="2">
        <v>0</v>
      </c>
      <c r="Q43" s="2">
        <v>84</v>
      </c>
      <c r="R43" s="2">
        <v>0</v>
      </c>
      <c r="S43" s="2">
        <v>0</v>
      </c>
      <c r="T43" s="2">
        <v>0</v>
      </c>
      <c r="U43" s="2">
        <v>7</v>
      </c>
      <c r="V43" s="2">
        <v>6</v>
      </c>
      <c r="W43" s="2">
        <v>3600</v>
      </c>
      <c r="X43" s="1">
        <v>6.6</v>
      </c>
      <c r="AF43" s="5">
        <v>619</v>
      </c>
    </row>
    <row r="44" spans="1:32" ht="15.75" customHeight="1" x14ac:dyDescent="0.2">
      <c r="A44" s="1" t="s">
        <v>221</v>
      </c>
      <c r="B44" s="1" t="s">
        <v>164</v>
      </c>
      <c r="C44" s="1" t="s">
        <v>222</v>
      </c>
      <c r="D44" s="1" t="s">
        <v>223</v>
      </c>
      <c r="E44" s="1" t="s">
        <v>224</v>
      </c>
      <c r="F44" t="s">
        <v>208</v>
      </c>
      <c r="G44" t="s">
        <v>209</v>
      </c>
      <c r="H44" t="s">
        <v>170</v>
      </c>
      <c r="I44" t="s">
        <v>40</v>
      </c>
      <c r="K44" t="s">
        <v>151</v>
      </c>
      <c r="L44" t="s">
        <v>90</v>
      </c>
      <c r="M44" s="2">
        <v>3600</v>
      </c>
      <c r="N44" s="2">
        <v>83</v>
      </c>
      <c r="O44" s="2">
        <v>0</v>
      </c>
      <c r="P44" s="2">
        <v>0</v>
      </c>
      <c r="Q44" s="2">
        <v>109</v>
      </c>
      <c r="R44" s="2">
        <v>0</v>
      </c>
      <c r="S44" s="2">
        <v>0</v>
      </c>
      <c r="T44" s="2">
        <v>0</v>
      </c>
      <c r="U44" s="2">
        <v>2</v>
      </c>
      <c r="V44" s="2">
        <v>0</v>
      </c>
      <c r="W44" s="2">
        <v>2580</v>
      </c>
      <c r="X44" s="1">
        <v>6.4</v>
      </c>
      <c r="AF44" s="5">
        <v>356</v>
      </c>
    </row>
    <row r="45" spans="1:32" ht="15.75" customHeight="1" x14ac:dyDescent="0.2">
      <c r="A45" s="1" t="s">
        <v>215</v>
      </c>
      <c r="B45" s="1" t="s">
        <v>275</v>
      </c>
      <c r="C45" s="1" t="s">
        <v>214</v>
      </c>
      <c r="D45" s="1" t="s">
        <v>216</v>
      </c>
      <c r="E45" s="1" t="s">
        <v>217</v>
      </c>
      <c r="F45" t="s">
        <v>210</v>
      </c>
      <c r="G45" t="s">
        <v>211</v>
      </c>
      <c r="H45" t="s">
        <v>39</v>
      </c>
      <c r="I45" t="s">
        <v>40</v>
      </c>
      <c r="J45" t="s">
        <v>41</v>
      </c>
      <c r="K45" t="s">
        <v>151</v>
      </c>
      <c r="L45" t="s">
        <v>90</v>
      </c>
      <c r="M45" s="2">
        <v>4200</v>
      </c>
      <c r="N45" s="2">
        <v>116</v>
      </c>
      <c r="O45" s="2">
        <v>0</v>
      </c>
      <c r="P45" s="2">
        <v>0</v>
      </c>
      <c r="Q45" s="2">
        <v>396</v>
      </c>
      <c r="R45" s="2">
        <v>133</v>
      </c>
      <c r="S45" s="2">
        <v>0</v>
      </c>
      <c r="T45" s="2">
        <v>10</v>
      </c>
      <c r="U45" s="2">
        <v>42</v>
      </c>
      <c r="V45" s="2">
        <v>41</v>
      </c>
      <c r="W45" s="2">
        <v>2160</v>
      </c>
      <c r="X45" s="1">
        <v>8.99</v>
      </c>
      <c r="AF45" s="5">
        <v>748</v>
      </c>
    </row>
    <row r="46" spans="1:32" ht="15.75" customHeight="1" x14ac:dyDescent="0.2">
      <c r="A46" s="1" t="s">
        <v>215</v>
      </c>
      <c r="B46" s="1" t="s">
        <v>44</v>
      </c>
      <c r="C46" s="1" t="s">
        <v>218</v>
      </c>
      <c r="D46" s="1" t="s">
        <v>219</v>
      </c>
      <c r="E46" s="1" t="s">
        <v>220</v>
      </c>
      <c r="F46" t="s">
        <v>212</v>
      </c>
      <c r="G46" t="s">
        <v>213</v>
      </c>
      <c r="H46" t="s">
        <v>39</v>
      </c>
      <c r="I46" t="s">
        <v>48</v>
      </c>
      <c r="J46" t="s">
        <v>49</v>
      </c>
      <c r="K46" t="s">
        <v>151</v>
      </c>
      <c r="L46" t="s">
        <v>43</v>
      </c>
      <c r="M46" s="2">
        <v>3900</v>
      </c>
      <c r="N46" s="2">
        <v>123</v>
      </c>
      <c r="O46" s="2">
        <v>0</v>
      </c>
      <c r="P46" s="2">
        <v>0</v>
      </c>
      <c r="Q46" s="2">
        <v>150</v>
      </c>
      <c r="R46" s="2">
        <v>20</v>
      </c>
      <c r="S46" s="2">
        <v>0</v>
      </c>
      <c r="T46" s="2">
        <v>1</v>
      </c>
      <c r="U46" s="2">
        <v>20</v>
      </c>
      <c r="V46" s="2">
        <v>20</v>
      </c>
      <c r="W46" s="2">
        <v>1884</v>
      </c>
      <c r="X46" s="1">
        <v>7.5</v>
      </c>
      <c r="AF46" s="5">
        <v>602</v>
      </c>
    </row>
    <row r="47" spans="1:32" ht="15.75" customHeight="1" x14ac:dyDescent="0.2">
      <c r="A47" s="1" t="s">
        <v>227</v>
      </c>
      <c r="B47" s="1" t="s">
        <v>164</v>
      </c>
      <c r="C47" s="1" t="s">
        <v>228</v>
      </c>
      <c r="D47" s="1" t="s">
        <v>229</v>
      </c>
      <c r="E47" s="1" t="s">
        <v>230</v>
      </c>
      <c r="F47" t="s">
        <v>225</v>
      </c>
      <c r="G47" t="s">
        <v>226</v>
      </c>
      <c r="H47" t="s">
        <v>170</v>
      </c>
      <c r="I47" t="s">
        <v>40</v>
      </c>
      <c r="K47" t="s">
        <v>151</v>
      </c>
      <c r="L47" t="s">
        <v>43</v>
      </c>
      <c r="M47" s="2">
        <v>5410</v>
      </c>
      <c r="N47" s="2">
        <v>174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1860</v>
      </c>
    </row>
    <row r="48" spans="1:32" ht="15.75" customHeight="1" x14ac:dyDescent="0.2">
      <c r="A48" s="1" t="s">
        <v>263</v>
      </c>
      <c r="B48" s="1" t="s">
        <v>265</v>
      </c>
      <c r="C48" s="1" t="s">
        <v>266</v>
      </c>
      <c r="D48" s="1" t="s">
        <v>267</v>
      </c>
      <c r="E48" s="1" t="s">
        <v>268</v>
      </c>
      <c r="F48" t="s">
        <v>244</v>
      </c>
      <c r="G48" t="s">
        <v>231</v>
      </c>
      <c r="H48" t="s">
        <v>262</v>
      </c>
      <c r="I48" t="s">
        <v>40</v>
      </c>
      <c r="K48" t="s">
        <v>151</v>
      </c>
      <c r="L48" t="s">
        <v>56</v>
      </c>
      <c r="M48" s="2">
        <v>3000</v>
      </c>
      <c r="W48" s="2">
        <v>4500</v>
      </c>
      <c r="X48" s="1">
        <v>5.5</v>
      </c>
    </row>
    <row r="49" spans="1:24" ht="15.75" customHeight="1" x14ac:dyDescent="0.2">
      <c r="A49" s="1" t="s">
        <v>263</v>
      </c>
      <c r="B49" s="1" t="s">
        <v>265</v>
      </c>
      <c r="C49" s="1" t="s">
        <v>266</v>
      </c>
      <c r="D49" s="1" t="s">
        <v>267</v>
      </c>
      <c r="E49" s="1" t="s">
        <v>268</v>
      </c>
      <c r="F49" t="s">
        <v>245</v>
      </c>
      <c r="G49" t="s">
        <v>232</v>
      </c>
      <c r="H49" t="s">
        <v>262</v>
      </c>
      <c r="I49" t="s">
        <v>40</v>
      </c>
      <c r="K49" t="s">
        <v>151</v>
      </c>
      <c r="L49" t="s">
        <v>56</v>
      </c>
      <c r="M49" s="2">
        <v>3000</v>
      </c>
      <c r="W49" s="2">
        <v>4500</v>
      </c>
      <c r="X49" s="1">
        <v>5.5</v>
      </c>
    </row>
    <row r="50" spans="1:24" ht="15.75" customHeight="1" x14ac:dyDescent="0.2">
      <c r="A50" s="1" t="s">
        <v>263</v>
      </c>
      <c r="B50" s="1" t="s">
        <v>265</v>
      </c>
      <c r="C50" s="1" t="s">
        <v>266</v>
      </c>
      <c r="D50" s="1" t="s">
        <v>267</v>
      </c>
      <c r="E50" s="1" t="s">
        <v>268</v>
      </c>
      <c r="F50" t="s">
        <v>246</v>
      </c>
      <c r="G50" t="s">
        <v>260</v>
      </c>
      <c r="H50" t="s">
        <v>262</v>
      </c>
      <c r="I50" t="s">
        <v>40</v>
      </c>
      <c r="K50" t="s">
        <v>151</v>
      </c>
      <c r="L50" t="s">
        <v>56</v>
      </c>
      <c r="M50" s="2">
        <v>3000</v>
      </c>
      <c r="W50" s="2">
        <v>4500</v>
      </c>
      <c r="X50" s="1">
        <v>5.5</v>
      </c>
    </row>
    <row r="51" spans="1:24" ht="15.75" customHeight="1" x14ac:dyDescent="0.2">
      <c r="A51" s="1" t="s">
        <v>263</v>
      </c>
      <c r="B51" s="1" t="s">
        <v>265</v>
      </c>
      <c r="C51" s="1" t="s">
        <v>266</v>
      </c>
      <c r="D51" s="1" t="s">
        <v>267</v>
      </c>
      <c r="E51" s="1" t="s">
        <v>268</v>
      </c>
      <c r="F51" t="s">
        <v>247</v>
      </c>
      <c r="G51" t="s">
        <v>98</v>
      </c>
      <c r="H51" t="s">
        <v>262</v>
      </c>
      <c r="I51" t="s">
        <v>40</v>
      </c>
      <c r="K51" t="s">
        <v>151</v>
      </c>
      <c r="L51" t="s">
        <v>43</v>
      </c>
      <c r="M51" s="2">
        <v>3000</v>
      </c>
      <c r="W51" s="2">
        <v>4500</v>
      </c>
      <c r="X51" s="1">
        <v>5.5</v>
      </c>
    </row>
    <row r="52" spans="1:24" ht="15.75" customHeight="1" x14ac:dyDescent="0.2">
      <c r="A52" s="1" t="s">
        <v>263</v>
      </c>
      <c r="B52" s="1" t="s">
        <v>265</v>
      </c>
      <c r="C52" s="1" t="s">
        <v>266</v>
      </c>
      <c r="D52" s="1" t="s">
        <v>267</v>
      </c>
      <c r="E52" s="1" t="s">
        <v>268</v>
      </c>
      <c r="F52" t="s">
        <v>225</v>
      </c>
      <c r="G52" t="s">
        <v>226</v>
      </c>
      <c r="H52" t="s">
        <v>262</v>
      </c>
      <c r="I52" t="s">
        <v>40</v>
      </c>
      <c r="K52" t="s">
        <v>151</v>
      </c>
      <c r="L52" t="s">
        <v>43</v>
      </c>
      <c r="M52" s="2">
        <v>3000</v>
      </c>
      <c r="W52" s="2">
        <v>4500</v>
      </c>
      <c r="X52" s="1">
        <v>5.5</v>
      </c>
    </row>
    <row r="53" spans="1:24" ht="15.75" customHeight="1" x14ac:dyDescent="0.2">
      <c r="A53" s="1" t="s">
        <v>263</v>
      </c>
      <c r="B53" s="1" t="s">
        <v>265</v>
      </c>
      <c r="C53" s="1" t="s">
        <v>266</v>
      </c>
      <c r="D53" s="1" t="s">
        <v>267</v>
      </c>
      <c r="E53" s="1" t="s">
        <v>268</v>
      </c>
      <c r="F53" t="s">
        <v>194</v>
      </c>
      <c r="G53" t="s">
        <v>87</v>
      </c>
      <c r="H53" t="s">
        <v>262</v>
      </c>
      <c r="I53" t="s">
        <v>40</v>
      </c>
      <c r="K53" t="s">
        <v>151</v>
      </c>
      <c r="L53" t="s">
        <v>90</v>
      </c>
      <c r="M53" s="2">
        <v>3000</v>
      </c>
      <c r="W53" s="2">
        <v>4500</v>
      </c>
      <c r="X53" s="1">
        <v>5.5</v>
      </c>
    </row>
    <row r="54" spans="1:24" ht="15.75" customHeight="1" x14ac:dyDescent="0.2">
      <c r="A54" s="1" t="s">
        <v>263</v>
      </c>
      <c r="B54" s="1" t="s">
        <v>265</v>
      </c>
      <c r="C54" s="1" t="s">
        <v>266</v>
      </c>
      <c r="D54" s="1" t="s">
        <v>267</v>
      </c>
      <c r="E54" s="1" t="s">
        <v>268</v>
      </c>
      <c r="F54" t="s">
        <v>248</v>
      </c>
      <c r="G54" t="s">
        <v>261</v>
      </c>
      <c r="H54" t="s">
        <v>262</v>
      </c>
      <c r="I54" t="s">
        <v>40</v>
      </c>
      <c r="K54" t="s">
        <v>151</v>
      </c>
      <c r="L54" t="s">
        <v>43</v>
      </c>
      <c r="M54" s="2">
        <v>3000</v>
      </c>
      <c r="W54" s="2">
        <v>4500</v>
      </c>
      <c r="X54" s="1">
        <v>5.5</v>
      </c>
    </row>
    <row r="55" spans="1:24" ht="15.75" customHeight="1" x14ac:dyDescent="0.2">
      <c r="A55" s="1" t="s">
        <v>263</v>
      </c>
      <c r="B55" s="1" t="s">
        <v>265</v>
      </c>
      <c r="C55" s="1" t="s">
        <v>266</v>
      </c>
      <c r="D55" s="1" t="s">
        <v>267</v>
      </c>
      <c r="E55" s="1" t="s">
        <v>268</v>
      </c>
      <c r="F55" t="s">
        <v>249</v>
      </c>
      <c r="G55" t="s">
        <v>233</v>
      </c>
      <c r="H55" t="s">
        <v>262</v>
      </c>
      <c r="I55" t="s">
        <v>40</v>
      </c>
      <c r="K55" t="s">
        <v>151</v>
      </c>
      <c r="L55" t="s">
        <v>90</v>
      </c>
      <c r="M55" s="2">
        <v>3000</v>
      </c>
      <c r="W55" s="2">
        <v>4500</v>
      </c>
      <c r="X55" s="1">
        <v>5.5</v>
      </c>
    </row>
    <row r="56" spans="1:24" ht="15.75" customHeight="1" x14ac:dyDescent="0.2">
      <c r="A56" s="1" t="s">
        <v>263</v>
      </c>
      <c r="B56" s="1" t="s">
        <v>265</v>
      </c>
      <c r="C56" s="1" t="s">
        <v>266</v>
      </c>
      <c r="D56" s="1" t="s">
        <v>267</v>
      </c>
      <c r="E56" s="1" t="s">
        <v>268</v>
      </c>
      <c r="F56" t="s">
        <v>250</v>
      </c>
      <c r="G56" t="s">
        <v>234</v>
      </c>
      <c r="H56" t="s">
        <v>262</v>
      </c>
      <c r="I56" t="s">
        <v>40</v>
      </c>
      <c r="K56" t="s">
        <v>151</v>
      </c>
      <c r="L56" t="s">
        <v>90</v>
      </c>
      <c r="M56" s="2">
        <v>3000</v>
      </c>
      <c r="W56" s="2">
        <v>4500</v>
      </c>
      <c r="X56" s="1">
        <v>5.5</v>
      </c>
    </row>
    <row r="57" spans="1:24" ht="15.75" customHeight="1" x14ac:dyDescent="0.2">
      <c r="A57" s="1" t="s">
        <v>263</v>
      </c>
      <c r="B57" s="1" t="s">
        <v>265</v>
      </c>
      <c r="C57" s="1" t="s">
        <v>266</v>
      </c>
      <c r="D57" s="1" t="s">
        <v>267</v>
      </c>
      <c r="E57" s="1" t="s">
        <v>268</v>
      </c>
      <c r="F57" t="s">
        <v>251</v>
      </c>
      <c r="G57" t="s">
        <v>235</v>
      </c>
      <c r="H57" t="s">
        <v>262</v>
      </c>
      <c r="I57" t="s">
        <v>40</v>
      </c>
      <c r="K57" t="s">
        <v>151</v>
      </c>
      <c r="L57" t="s">
        <v>56</v>
      </c>
      <c r="M57" s="2">
        <v>3000</v>
      </c>
      <c r="W57" s="2">
        <v>4500</v>
      </c>
      <c r="X57" s="1">
        <v>5.5</v>
      </c>
    </row>
    <row r="58" spans="1:24" ht="15.75" customHeight="1" x14ac:dyDescent="0.2">
      <c r="A58" s="1" t="s">
        <v>264</v>
      </c>
      <c r="B58" s="1" t="s">
        <v>265</v>
      </c>
      <c r="C58" s="1" t="s">
        <v>269</v>
      </c>
      <c r="D58" s="1" t="s">
        <v>267</v>
      </c>
      <c r="E58" s="1" t="s">
        <v>268</v>
      </c>
      <c r="F58" t="s">
        <v>252</v>
      </c>
      <c r="G58" t="s">
        <v>236</v>
      </c>
      <c r="H58" t="s">
        <v>262</v>
      </c>
      <c r="I58" t="s">
        <v>40</v>
      </c>
      <c r="K58" t="s">
        <v>151</v>
      </c>
      <c r="L58" t="s">
        <v>93</v>
      </c>
      <c r="M58" s="2">
        <v>3000</v>
      </c>
      <c r="W58" s="2">
        <v>4500</v>
      </c>
      <c r="X58" s="1">
        <v>5.5</v>
      </c>
    </row>
    <row r="59" spans="1:24" ht="15.75" customHeight="1" x14ac:dyDescent="0.2">
      <c r="A59" s="1" t="s">
        <v>263</v>
      </c>
      <c r="B59" s="1" t="s">
        <v>265</v>
      </c>
      <c r="C59" s="1" t="s">
        <v>266</v>
      </c>
      <c r="D59" s="1" t="s">
        <v>267</v>
      </c>
      <c r="E59" s="1" t="s">
        <v>268</v>
      </c>
      <c r="F59" t="s">
        <v>149</v>
      </c>
      <c r="G59" t="s">
        <v>150</v>
      </c>
      <c r="H59" t="s">
        <v>262</v>
      </c>
      <c r="I59" t="s">
        <v>40</v>
      </c>
      <c r="K59" t="s">
        <v>151</v>
      </c>
      <c r="L59" t="s">
        <v>43</v>
      </c>
      <c r="M59" s="2">
        <v>3000</v>
      </c>
      <c r="W59" s="2">
        <v>4500</v>
      </c>
      <c r="X59" s="1">
        <v>5.5</v>
      </c>
    </row>
    <row r="60" spans="1:24" ht="15.75" customHeight="1" x14ac:dyDescent="0.2">
      <c r="A60" s="1" t="s">
        <v>263</v>
      </c>
      <c r="B60" s="1" t="s">
        <v>265</v>
      </c>
      <c r="C60" s="1" t="s">
        <v>266</v>
      </c>
      <c r="D60" s="1" t="s">
        <v>267</v>
      </c>
      <c r="E60" s="1" t="s">
        <v>268</v>
      </c>
      <c r="F60" t="s">
        <v>253</v>
      </c>
      <c r="G60" t="s">
        <v>237</v>
      </c>
      <c r="H60" t="s">
        <v>262</v>
      </c>
      <c r="I60" t="s">
        <v>40</v>
      </c>
      <c r="K60" t="s">
        <v>151</v>
      </c>
      <c r="L60" t="s">
        <v>90</v>
      </c>
      <c r="M60" s="2">
        <v>3000</v>
      </c>
      <c r="W60" s="2">
        <v>4500</v>
      </c>
      <c r="X60" s="1">
        <v>5.5</v>
      </c>
    </row>
    <row r="61" spans="1:24" ht="15.75" customHeight="1" x14ac:dyDescent="0.2">
      <c r="A61" s="1" t="s">
        <v>263</v>
      </c>
      <c r="B61" s="1" t="s">
        <v>265</v>
      </c>
      <c r="C61" s="1" t="s">
        <v>266</v>
      </c>
      <c r="D61" s="1" t="s">
        <v>267</v>
      </c>
      <c r="E61" s="1" t="s">
        <v>268</v>
      </c>
      <c r="F61" t="s">
        <v>254</v>
      </c>
      <c r="G61" t="s">
        <v>238</v>
      </c>
      <c r="H61" t="s">
        <v>262</v>
      </c>
      <c r="I61" t="s">
        <v>40</v>
      </c>
      <c r="K61" t="s">
        <v>151</v>
      </c>
      <c r="L61" t="s">
        <v>56</v>
      </c>
      <c r="M61" s="2">
        <v>3000</v>
      </c>
      <c r="W61" s="2">
        <v>4500</v>
      </c>
      <c r="X61" s="1">
        <v>5.5</v>
      </c>
    </row>
    <row r="62" spans="1:24" ht="15.75" customHeight="1" x14ac:dyDescent="0.2">
      <c r="A62" s="1" t="s">
        <v>264</v>
      </c>
      <c r="B62" s="1" t="s">
        <v>265</v>
      </c>
      <c r="C62" s="1" t="s">
        <v>269</v>
      </c>
      <c r="D62" s="1" t="s">
        <v>267</v>
      </c>
      <c r="E62" s="1" t="s">
        <v>268</v>
      </c>
      <c r="F62" t="s">
        <v>255</v>
      </c>
      <c r="G62" t="s">
        <v>239</v>
      </c>
      <c r="H62" t="s">
        <v>262</v>
      </c>
      <c r="I62" t="s">
        <v>40</v>
      </c>
      <c r="K62" t="s">
        <v>151</v>
      </c>
      <c r="L62" t="s">
        <v>93</v>
      </c>
      <c r="M62" s="2">
        <v>3000</v>
      </c>
      <c r="W62" s="2">
        <v>4500</v>
      </c>
      <c r="X62" s="1">
        <v>5.5</v>
      </c>
    </row>
    <row r="63" spans="1:24" ht="15.75" customHeight="1" x14ac:dyDescent="0.2">
      <c r="A63" s="1" t="s">
        <v>263</v>
      </c>
      <c r="B63" s="1" t="s">
        <v>265</v>
      </c>
      <c r="C63" s="1" t="s">
        <v>266</v>
      </c>
      <c r="D63" s="1" t="s">
        <v>267</v>
      </c>
      <c r="E63" s="1" t="s">
        <v>268</v>
      </c>
      <c r="F63" t="s">
        <v>256</v>
      </c>
      <c r="G63" t="s">
        <v>240</v>
      </c>
      <c r="H63" t="s">
        <v>262</v>
      </c>
      <c r="I63" t="s">
        <v>40</v>
      </c>
      <c r="K63" t="s">
        <v>151</v>
      </c>
      <c r="L63" t="s">
        <v>43</v>
      </c>
      <c r="M63" s="2">
        <v>3000</v>
      </c>
      <c r="W63" s="2">
        <v>4500</v>
      </c>
      <c r="X63" s="1">
        <v>5.5</v>
      </c>
    </row>
    <row r="64" spans="1:24" ht="15.75" customHeight="1" x14ac:dyDescent="0.2">
      <c r="A64" s="1" t="s">
        <v>263</v>
      </c>
      <c r="B64" s="1" t="s">
        <v>265</v>
      </c>
      <c r="C64" s="1" t="s">
        <v>266</v>
      </c>
      <c r="D64" s="1" t="s">
        <v>267</v>
      </c>
      <c r="E64" s="1" t="s">
        <v>268</v>
      </c>
      <c r="F64" t="s">
        <v>210</v>
      </c>
      <c r="G64" t="s">
        <v>211</v>
      </c>
      <c r="H64" t="s">
        <v>262</v>
      </c>
      <c r="I64" t="s">
        <v>40</v>
      </c>
      <c r="K64" t="s">
        <v>151</v>
      </c>
      <c r="L64" t="s">
        <v>90</v>
      </c>
      <c r="M64" s="2">
        <v>3000</v>
      </c>
      <c r="W64" s="2">
        <v>4500</v>
      </c>
      <c r="X64" s="1">
        <v>5.5</v>
      </c>
    </row>
    <row r="65" spans="1:32" ht="15.75" customHeight="1" x14ac:dyDescent="0.2">
      <c r="A65" s="1" t="s">
        <v>263</v>
      </c>
      <c r="B65" s="1" t="s">
        <v>265</v>
      </c>
      <c r="C65" s="1" t="s">
        <v>266</v>
      </c>
      <c r="D65" s="1" t="s">
        <v>267</v>
      </c>
      <c r="E65" s="1" t="s">
        <v>268</v>
      </c>
      <c r="F65" t="s">
        <v>257</v>
      </c>
      <c r="G65" t="s">
        <v>241</v>
      </c>
      <c r="H65" t="s">
        <v>262</v>
      </c>
      <c r="I65" t="s">
        <v>40</v>
      </c>
      <c r="K65" t="s">
        <v>151</v>
      </c>
      <c r="L65" t="s">
        <v>90</v>
      </c>
      <c r="M65" s="2">
        <v>3000</v>
      </c>
      <c r="W65" s="2">
        <v>4500</v>
      </c>
      <c r="X65" s="1">
        <v>5.5</v>
      </c>
    </row>
    <row r="66" spans="1:32" ht="15.75" customHeight="1" x14ac:dyDescent="0.2">
      <c r="A66" s="1" t="s">
        <v>263</v>
      </c>
      <c r="B66" s="1" t="s">
        <v>265</v>
      </c>
      <c r="C66" s="1" t="s">
        <v>266</v>
      </c>
      <c r="D66" s="1" t="s">
        <v>267</v>
      </c>
      <c r="E66" s="1" t="s">
        <v>268</v>
      </c>
      <c r="F66" t="s">
        <v>212</v>
      </c>
      <c r="G66" t="s">
        <v>213</v>
      </c>
      <c r="H66" t="s">
        <v>262</v>
      </c>
      <c r="I66" t="s">
        <v>40</v>
      </c>
      <c r="K66" t="s">
        <v>151</v>
      </c>
      <c r="L66" t="s">
        <v>43</v>
      </c>
      <c r="M66" s="2">
        <v>3000</v>
      </c>
      <c r="W66" s="2">
        <v>4500</v>
      </c>
      <c r="X66" s="1">
        <v>5.5</v>
      </c>
    </row>
    <row r="67" spans="1:32" ht="15.75" customHeight="1" x14ac:dyDescent="0.2">
      <c r="A67" s="1" t="s">
        <v>263</v>
      </c>
      <c r="B67" s="1" t="s">
        <v>265</v>
      </c>
      <c r="C67" s="1" t="s">
        <v>266</v>
      </c>
      <c r="D67" s="1" t="s">
        <v>267</v>
      </c>
      <c r="E67" s="1" t="s">
        <v>268</v>
      </c>
      <c r="F67" t="s">
        <v>258</v>
      </c>
      <c r="G67" t="s">
        <v>242</v>
      </c>
      <c r="H67" t="s">
        <v>262</v>
      </c>
      <c r="I67" t="s">
        <v>40</v>
      </c>
      <c r="K67" t="s">
        <v>151</v>
      </c>
      <c r="L67" t="s">
        <v>43</v>
      </c>
      <c r="M67" s="2">
        <v>3000</v>
      </c>
      <c r="W67" s="2">
        <v>4500</v>
      </c>
      <c r="X67" s="1">
        <v>5.5</v>
      </c>
    </row>
    <row r="68" spans="1:32" ht="15.75" customHeight="1" x14ac:dyDescent="0.2">
      <c r="A68" s="1" t="s">
        <v>263</v>
      </c>
      <c r="B68" s="1" t="s">
        <v>265</v>
      </c>
      <c r="C68" s="1" t="s">
        <v>266</v>
      </c>
      <c r="D68" s="1" t="s">
        <v>267</v>
      </c>
      <c r="E68" s="1" t="s">
        <v>268</v>
      </c>
      <c r="F68" t="s">
        <v>259</v>
      </c>
      <c r="G68" t="s">
        <v>243</v>
      </c>
      <c r="H68" t="s">
        <v>262</v>
      </c>
      <c r="I68" t="s">
        <v>40</v>
      </c>
      <c r="K68" t="s">
        <v>151</v>
      </c>
      <c r="L68" t="s">
        <v>56</v>
      </c>
      <c r="M68" s="2">
        <v>3000</v>
      </c>
      <c r="W68" s="2">
        <v>4500</v>
      </c>
      <c r="X68" s="1">
        <v>5.5</v>
      </c>
    </row>
    <row r="69" spans="1:32" ht="15.75" customHeight="1" x14ac:dyDescent="0.2">
      <c r="A69" s="1" t="s">
        <v>264</v>
      </c>
      <c r="B69" s="1" t="s">
        <v>265</v>
      </c>
      <c r="C69" s="1" t="s">
        <v>269</v>
      </c>
      <c r="D69" s="1" t="s">
        <v>267</v>
      </c>
      <c r="E69" s="1" t="s">
        <v>268</v>
      </c>
      <c r="F69" t="s">
        <v>86</v>
      </c>
      <c r="G69" t="s">
        <v>270</v>
      </c>
      <c r="H69" t="s">
        <v>262</v>
      </c>
      <c r="I69" t="s">
        <v>40</v>
      </c>
      <c r="K69" t="s">
        <v>151</v>
      </c>
      <c r="L69" t="s">
        <v>93</v>
      </c>
      <c r="M69" s="2">
        <v>3000</v>
      </c>
      <c r="W69" s="2">
        <v>4500</v>
      </c>
      <c r="X69" s="1">
        <v>5.5</v>
      </c>
    </row>
    <row r="72" spans="1:32" ht="15.75" customHeight="1" x14ac:dyDescent="0.2">
      <c r="A72" s="1" t="s">
        <v>271</v>
      </c>
      <c r="B72" s="1" t="s">
        <v>164</v>
      </c>
      <c r="C72" s="1" t="s">
        <v>272</v>
      </c>
      <c r="D72" s="1" t="s">
        <v>273</v>
      </c>
      <c r="E72" s="1" t="s">
        <v>274</v>
      </c>
      <c r="F72" t="s">
        <v>257</v>
      </c>
      <c r="G72" t="s">
        <v>241</v>
      </c>
      <c r="H72" t="s">
        <v>170</v>
      </c>
      <c r="I72" t="s">
        <v>40</v>
      </c>
      <c r="K72" t="s">
        <v>151</v>
      </c>
      <c r="L72" t="s">
        <v>90</v>
      </c>
      <c r="M72" s="2">
        <v>2420</v>
      </c>
      <c r="W72" s="2">
        <v>900</v>
      </c>
      <c r="X72" s="1">
        <v>3.19</v>
      </c>
    </row>
    <row r="73" spans="1:32" ht="15.75" customHeight="1" x14ac:dyDescent="0.2">
      <c r="A73" s="1" t="s">
        <v>289</v>
      </c>
      <c r="B73" s="1" t="s">
        <v>164</v>
      </c>
      <c r="C73" s="1" t="s">
        <v>290</v>
      </c>
      <c r="D73" s="1" t="s">
        <v>291</v>
      </c>
      <c r="E73" s="1" t="s">
        <v>292</v>
      </c>
      <c r="F73" t="s">
        <v>257</v>
      </c>
      <c r="G73" t="s">
        <v>241</v>
      </c>
      <c r="H73" t="s">
        <v>170</v>
      </c>
      <c r="I73" t="s">
        <v>40</v>
      </c>
      <c r="K73" t="s">
        <v>151</v>
      </c>
      <c r="L73" t="s">
        <v>90</v>
      </c>
      <c r="M73" s="2">
        <v>4530</v>
      </c>
      <c r="W73" s="2">
        <f>25*60</f>
        <v>1500</v>
      </c>
      <c r="X73" s="1">
        <v>3.02</v>
      </c>
    </row>
    <row r="74" spans="1:32" ht="15.75" customHeight="1" x14ac:dyDescent="0.2">
      <c r="A74" s="1" t="s">
        <v>289</v>
      </c>
      <c r="B74" s="1" t="s">
        <v>164</v>
      </c>
      <c r="C74" s="1" t="s">
        <v>290</v>
      </c>
      <c r="D74" s="1" t="s">
        <v>291</v>
      </c>
      <c r="E74" s="1" t="s">
        <v>292</v>
      </c>
      <c r="F74" t="s">
        <v>276</v>
      </c>
      <c r="G74" t="s">
        <v>277</v>
      </c>
      <c r="H74" t="s">
        <v>170</v>
      </c>
      <c r="I74" t="s">
        <v>40</v>
      </c>
      <c r="K74" t="s">
        <v>151</v>
      </c>
      <c r="L74" t="s">
        <v>56</v>
      </c>
      <c r="M74" s="2">
        <v>3000</v>
      </c>
      <c r="W74" s="2">
        <f>15*60</f>
        <v>900</v>
      </c>
      <c r="X74" s="1">
        <v>3.33</v>
      </c>
    </row>
    <row r="75" spans="1:32" ht="15.75" customHeight="1" x14ac:dyDescent="0.2">
      <c r="A75" s="1" t="s">
        <v>282</v>
      </c>
      <c r="B75" s="1" t="s">
        <v>281</v>
      </c>
      <c r="C75" s="1" t="s">
        <v>283</v>
      </c>
      <c r="D75" s="1" t="s">
        <v>284</v>
      </c>
      <c r="E75" s="1" t="s">
        <v>285</v>
      </c>
      <c r="F75" t="s">
        <v>278</v>
      </c>
      <c r="G75" t="s">
        <v>279</v>
      </c>
      <c r="H75" t="s">
        <v>280</v>
      </c>
      <c r="I75" t="s">
        <v>40</v>
      </c>
      <c r="K75" t="s">
        <v>105</v>
      </c>
      <c r="L75" t="s">
        <v>56</v>
      </c>
      <c r="M75" s="7">
        <v>570</v>
      </c>
      <c r="N75" s="7">
        <v>60.77</v>
      </c>
      <c r="O75" s="7">
        <v>0</v>
      </c>
      <c r="P75" s="7">
        <v>0</v>
      </c>
      <c r="Q75" s="7">
        <v>6.38</v>
      </c>
      <c r="R75" s="7">
        <v>0</v>
      </c>
      <c r="S75" s="7">
        <v>1</v>
      </c>
      <c r="T75" s="7">
        <v>0</v>
      </c>
      <c r="U75" s="7">
        <v>1</v>
      </c>
      <c r="V75" s="7">
        <v>0</v>
      </c>
      <c r="W75" s="7">
        <v>6.5277777777777782E-3</v>
      </c>
      <c r="X75" s="9">
        <v>6.11</v>
      </c>
      <c r="Y75" s="8">
        <v>540.84</v>
      </c>
      <c r="Z75" s="8">
        <v>363.68</v>
      </c>
      <c r="AA75" s="8">
        <v>20.69</v>
      </c>
      <c r="AB75" s="8">
        <v>132.37</v>
      </c>
      <c r="AC75" s="8">
        <v>10.25</v>
      </c>
      <c r="AD75" s="8">
        <v>31.35</v>
      </c>
      <c r="AE75" s="8">
        <v>0</v>
      </c>
      <c r="AF75" s="8">
        <v>37.99</v>
      </c>
    </row>
    <row r="76" spans="1:32" ht="15.75" customHeight="1" x14ac:dyDescent="0.2">
      <c r="A76" s="1" t="s">
        <v>282</v>
      </c>
      <c r="B76" s="1" t="s">
        <v>200</v>
      </c>
      <c r="C76" s="1" t="s">
        <v>286</v>
      </c>
      <c r="D76" s="1" t="s">
        <v>287</v>
      </c>
      <c r="E76" s="1" t="s">
        <v>288</v>
      </c>
      <c r="F76" t="s">
        <v>278</v>
      </c>
      <c r="G76" t="s">
        <v>279</v>
      </c>
      <c r="H76" t="s">
        <v>193</v>
      </c>
      <c r="I76" t="s">
        <v>40</v>
      </c>
      <c r="K76" t="s">
        <v>105</v>
      </c>
      <c r="L76" t="s">
        <v>56</v>
      </c>
      <c r="M76" s="7">
        <v>1250</v>
      </c>
      <c r="N76" s="7">
        <v>245.91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3.5300925925925925E-3</v>
      </c>
      <c r="X76" s="9">
        <v>5</v>
      </c>
      <c r="Y76" s="8">
        <v>1055.4000000000001</v>
      </c>
      <c r="Z76" s="8">
        <v>7.56</v>
      </c>
      <c r="AA76" s="8">
        <v>197.5</v>
      </c>
      <c r="AB76" s="8">
        <v>10.43</v>
      </c>
      <c r="AC76" s="8">
        <v>0</v>
      </c>
      <c r="AD76" s="8">
        <v>513.58000000000004</v>
      </c>
      <c r="AE76" s="8">
        <v>0</v>
      </c>
      <c r="AF76" s="8">
        <v>721.33</v>
      </c>
    </row>
    <row r="77" spans="1:32" ht="15.75" customHeight="1" x14ac:dyDescent="0.2">
      <c r="A77" s="11" t="s">
        <v>295</v>
      </c>
      <c r="B77" s="1" t="s">
        <v>33</v>
      </c>
      <c r="C77" s="12" t="s">
        <v>296</v>
      </c>
      <c r="D77" s="12" t="s">
        <v>300</v>
      </c>
      <c r="E77" s="12" t="s">
        <v>301</v>
      </c>
      <c r="F77" t="s">
        <v>294</v>
      </c>
      <c r="G77" t="s">
        <v>293</v>
      </c>
      <c r="H77" t="s">
        <v>39</v>
      </c>
      <c r="I77" t="s">
        <v>40</v>
      </c>
      <c r="J77" t="s">
        <v>41</v>
      </c>
      <c r="K77" t="s">
        <v>105</v>
      </c>
      <c r="L77" t="s">
        <v>90</v>
      </c>
      <c r="M77" s="10">
        <v>5088</v>
      </c>
      <c r="N77" s="2">
        <f>5088/47</f>
        <v>108.25531914893617</v>
      </c>
      <c r="O77" s="2">
        <v>0</v>
      </c>
      <c r="P77" s="2">
        <v>0</v>
      </c>
      <c r="Q77" s="2">
        <v>306</v>
      </c>
      <c r="R77" s="2">
        <v>69</v>
      </c>
      <c r="S77" s="2">
        <v>0</v>
      </c>
      <c r="T77" s="2">
        <v>5</v>
      </c>
      <c r="U77" s="2">
        <v>36.200000000000003</v>
      </c>
      <c r="V77" s="2">
        <v>39</v>
      </c>
      <c r="W77" s="2">
        <f>47*60</f>
        <v>2820</v>
      </c>
      <c r="X77" s="1">
        <f>29/3.6</f>
        <v>8.0555555555555554</v>
      </c>
      <c r="AF77" s="5">
        <v>766</v>
      </c>
    </row>
    <row r="78" spans="1:32" ht="15.75" customHeight="1" x14ac:dyDescent="0.2">
      <c r="A78" s="11" t="s">
        <v>295</v>
      </c>
      <c r="B78" s="1" t="s">
        <v>44</v>
      </c>
      <c r="C78" s="12" t="s">
        <v>297</v>
      </c>
      <c r="D78" s="12" t="s">
        <v>298</v>
      </c>
      <c r="E78" s="12" t="s">
        <v>299</v>
      </c>
      <c r="F78" t="s">
        <v>294</v>
      </c>
      <c r="G78" t="s">
        <v>293</v>
      </c>
      <c r="H78" t="s">
        <v>39</v>
      </c>
      <c r="I78" t="s">
        <v>48</v>
      </c>
      <c r="J78" t="s">
        <v>49</v>
      </c>
      <c r="K78" t="s">
        <v>105</v>
      </c>
      <c r="L78" t="s">
        <v>90</v>
      </c>
      <c r="M78" s="2">
        <v>5031</v>
      </c>
      <c r="N78" s="2">
        <f>5031/50</f>
        <v>100.62</v>
      </c>
      <c r="O78" s="2">
        <v>0</v>
      </c>
      <c r="P78" s="2">
        <v>0</v>
      </c>
      <c r="Q78" s="2">
        <v>252</v>
      </c>
      <c r="R78" s="2">
        <v>86</v>
      </c>
      <c r="S78" s="2">
        <v>0</v>
      </c>
      <c r="T78" s="2">
        <v>5</v>
      </c>
      <c r="U78" s="2">
        <v>36</v>
      </c>
      <c r="V78" s="2">
        <v>35</v>
      </c>
      <c r="W78" s="2">
        <f>50*60</f>
        <v>3000</v>
      </c>
      <c r="X78" s="1">
        <v>8</v>
      </c>
      <c r="AF78" s="5">
        <v>665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EF12-BBFE-3347-AB27-C69E7A482CB6}">
  <dimension ref="A1:D3"/>
  <sheetViews>
    <sheetView workbookViewId="0">
      <selection activeCell="F24" sqref="F24"/>
    </sheetView>
  </sheetViews>
  <sheetFormatPr baseColWidth="10" defaultColWidth="11" defaultRowHeight="16" x14ac:dyDescent="0.2"/>
  <cols>
    <col min="1" max="1" width="36.5" bestFit="1" customWidth="1"/>
    <col min="2" max="2" width="20.1640625" bestFit="1" customWidth="1"/>
  </cols>
  <sheetData>
    <row r="1" spans="1:4" x14ac:dyDescent="0.2">
      <c r="A1" t="s">
        <v>178</v>
      </c>
      <c r="B1" t="s">
        <v>179</v>
      </c>
      <c r="C1" t="s">
        <v>180</v>
      </c>
      <c r="D1" t="s">
        <v>181</v>
      </c>
    </row>
    <row r="2" spans="1:4" x14ac:dyDescent="0.2">
      <c r="A2" t="s">
        <v>182</v>
      </c>
      <c r="B2" t="s">
        <v>183</v>
      </c>
      <c r="C2" t="s">
        <v>184</v>
      </c>
      <c r="D2" s="4">
        <v>45655</v>
      </c>
    </row>
    <row r="3" spans="1:4" x14ac:dyDescent="0.2">
      <c r="A3" t="s">
        <v>185</v>
      </c>
      <c r="B3" t="s">
        <v>183</v>
      </c>
      <c r="C3" t="s">
        <v>184</v>
      </c>
      <c r="D3" s="4">
        <v>45655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change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Thibaut Reboul</dc:creator>
  <cp:keywords/>
  <dc:description/>
  <cp:lastModifiedBy>Adrien MAHY</cp:lastModifiedBy>
  <cp:revision/>
  <dcterms:created xsi:type="dcterms:W3CDTF">2024-12-02T10:50:22Z</dcterms:created>
  <dcterms:modified xsi:type="dcterms:W3CDTF">2026-09-21T09:46:11Z</dcterms:modified>
  <cp:category/>
  <cp:contentStatus/>
</cp:coreProperties>
</file>